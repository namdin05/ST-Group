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Nam\Downloads\"/>
    </mc:Choice>
  </mc:AlternateContent>
  <xr:revisionPtr revIDLastSave="0" documentId="13_ncr:1_{D7E2555D-A4FA-4C45-A958-D47C1AE5091D}" xr6:coauthVersionLast="47" xr6:coauthVersionMax="47" xr10:uidLastSave="{00000000-0000-0000-0000-000000000000}"/>
  <bookViews>
    <workbookView xWindow="0" yWindow="360" windowWidth="29040" windowHeight="15720" firstSheet="1" activeTab="9" xr2:uid="{00000000-000D-0000-FFFF-FFFF00000000}"/>
  </bookViews>
  <sheets>
    <sheet name="Read Me" sheetId="1" r:id="rId1"/>
    <sheet name="Sources" sheetId="3" r:id="rId2"/>
    <sheet name="AI Prompts" sheetId="4" r:id="rId3"/>
    <sheet name="Execution" sheetId="5" r:id="rId4"/>
    <sheet name="User Testing" sheetId="6" r:id="rId5"/>
    <sheet name="SUS" sheetId="7" r:id="rId6"/>
    <sheet name="Compatibility" sheetId="8" r:id="rId7"/>
    <sheet name="Usability Findings" sheetId="9" r:id="rId8"/>
    <sheet name="Findings Log" sheetId="10" r:id="rId9"/>
    <sheet name="Report Outline" sheetId="11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5" roundtripDataChecksum="QotetotXHOwkA4OXSKsbyngJbTUSw/46N/9QAiCS29o="/>
    </ext>
  </extLst>
</workbook>
</file>

<file path=xl/calcChain.xml><?xml version="1.0" encoding="utf-8"?>
<calcChain xmlns="http://schemas.openxmlformats.org/spreadsheetml/2006/main">
  <c r="M13" i="7" l="1"/>
  <c r="M11" i="7"/>
  <c r="L11" i="7"/>
  <c r="L10" i="7"/>
  <c r="M10" i="7" s="1"/>
  <c r="L9" i="7"/>
  <c r="M9" i="7" s="1"/>
  <c r="L8" i="7"/>
  <c r="M8" i="7" s="1"/>
  <c r="M7" i="7"/>
  <c r="L7" i="7"/>
  <c r="G15" i="6"/>
  <c r="E15" i="6"/>
  <c r="C15" i="6"/>
  <c r="A15" i="6"/>
  <c r="C65" i="5"/>
  <c r="B65" i="5"/>
  <c r="A65" i="5"/>
  <c r="C64" i="5"/>
  <c r="B64" i="5"/>
  <c r="A64" i="5"/>
  <c r="C63" i="5"/>
  <c r="B63" i="5"/>
  <c r="A63" i="5"/>
  <c r="C62" i="5"/>
  <c r="B62" i="5"/>
  <c r="A62" i="5"/>
  <c r="C61" i="5"/>
  <c r="B61" i="5"/>
  <c r="A61" i="5"/>
  <c r="C60" i="5"/>
  <c r="B60" i="5"/>
  <c r="A60" i="5"/>
  <c r="C59" i="5"/>
  <c r="B59" i="5"/>
  <c r="A59" i="5"/>
  <c r="C58" i="5"/>
  <c r="B58" i="5"/>
  <c r="A58" i="5"/>
  <c r="C57" i="5"/>
  <c r="B57" i="5"/>
  <c r="A57" i="5"/>
  <c r="C56" i="5"/>
  <c r="B56" i="5"/>
  <c r="A56" i="5"/>
  <c r="C55" i="5"/>
  <c r="B55" i="5"/>
  <c r="A55" i="5"/>
  <c r="C54" i="5"/>
  <c r="B54" i="5"/>
  <c r="A54" i="5"/>
  <c r="C53" i="5"/>
  <c r="B53" i="5"/>
  <c r="A53" i="5"/>
  <c r="C52" i="5"/>
  <c r="B52" i="5"/>
  <c r="A52" i="5"/>
  <c r="C51" i="5"/>
  <c r="B51" i="5"/>
  <c r="A51" i="5"/>
  <c r="C50" i="5"/>
  <c r="B50" i="5"/>
  <c r="A50" i="5"/>
  <c r="C49" i="5"/>
  <c r="B49" i="5"/>
  <c r="A49" i="5"/>
  <c r="C48" i="5"/>
  <c r="B48" i="5"/>
  <c r="A48" i="5"/>
  <c r="C47" i="5"/>
  <c r="B47" i="5"/>
  <c r="A47" i="5"/>
  <c r="C46" i="5"/>
  <c r="B46" i="5"/>
  <c r="A46" i="5"/>
  <c r="C45" i="5"/>
  <c r="B45" i="5"/>
  <c r="A45" i="5"/>
  <c r="C44" i="5"/>
  <c r="B44" i="5"/>
  <c r="A44" i="5"/>
  <c r="C43" i="5"/>
  <c r="B43" i="5"/>
  <c r="A43" i="5"/>
  <c r="C42" i="5"/>
  <c r="B42" i="5"/>
  <c r="A42" i="5"/>
  <c r="C41" i="5"/>
  <c r="B41" i="5"/>
  <c r="A41" i="5"/>
  <c r="C40" i="5"/>
  <c r="B40" i="5"/>
  <c r="A40" i="5"/>
  <c r="C39" i="5"/>
  <c r="B39" i="5"/>
  <c r="A39" i="5"/>
  <c r="C38" i="5"/>
  <c r="B38" i="5"/>
  <c r="A38" i="5"/>
  <c r="C37" i="5"/>
  <c r="B37" i="5"/>
  <c r="A37" i="5"/>
  <c r="C36" i="5"/>
  <c r="B36" i="5"/>
  <c r="A36" i="5"/>
  <c r="C35" i="5"/>
  <c r="B35" i="5"/>
  <c r="A35" i="5"/>
  <c r="C34" i="5"/>
  <c r="B34" i="5"/>
  <c r="A34" i="5"/>
  <c r="C33" i="5"/>
  <c r="B33" i="5"/>
  <c r="A33" i="5"/>
  <c r="C32" i="5"/>
  <c r="B32" i="5"/>
  <c r="A32" i="5"/>
  <c r="C31" i="5"/>
  <c r="B31" i="5"/>
  <c r="A31" i="5"/>
  <c r="C30" i="5"/>
  <c r="B30" i="5"/>
  <c r="A30" i="5"/>
  <c r="C29" i="5"/>
  <c r="B29" i="5"/>
  <c r="A29" i="5"/>
  <c r="C28" i="5"/>
  <c r="B28" i="5"/>
  <c r="A28" i="5"/>
  <c r="C27" i="5"/>
  <c r="B27" i="5"/>
  <c r="A27" i="5"/>
  <c r="C26" i="5"/>
  <c r="B26" i="5"/>
  <c r="A26" i="5"/>
  <c r="C25" i="5"/>
  <c r="B25" i="5"/>
  <c r="A25" i="5"/>
  <c r="C24" i="5"/>
  <c r="B24" i="5"/>
  <c r="A24" i="5"/>
  <c r="C23" i="5"/>
  <c r="B23" i="5"/>
  <c r="A23" i="5"/>
  <c r="C22" i="5"/>
  <c r="B22" i="5"/>
  <c r="A22" i="5"/>
  <c r="C21" i="5"/>
  <c r="B21" i="5"/>
  <c r="A21" i="5"/>
  <c r="C20" i="5"/>
  <c r="B20" i="5"/>
  <c r="A20" i="5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J8" i="1"/>
  <c r="I8" i="1"/>
  <c r="H8" i="1"/>
  <c r="G8" i="1"/>
  <c r="F8" i="1"/>
  <c r="E8" i="1"/>
  <c r="D8" i="1"/>
</calcChain>
</file>

<file path=xl/sharedStrings.xml><?xml version="1.0" encoding="utf-8"?>
<sst xmlns="http://schemas.openxmlformats.org/spreadsheetml/2006/main" count="579" uniqueCount="405">
  <si>
    <t>HW03 - GUI &amp; Usability Testing on EMS | Working Pack</t>
  </si>
  <si>
    <t>SUT: https://prod-dev.ems-fitus.cloud/ | Owner template: Dinh Hoang Nam - 23127430 | Real evidence must be collected by the student team.</t>
  </si>
  <si>
    <t>ACADEMIC INTEGRITY GATE - Do not fabricate participants, contacts, raw session data, screenshots, compatibility results, timestamps, or Google Form confirmations.</t>
  </si>
  <si>
    <t>Step</t>
  </si>
  <si>
    <t>Group workflow</t>
  </si>
  <si>
    <t>AI Interaction and Prompt Log</t>
  </si>
  <si>
    <t>Reference Sources</t>
  </si>
  <si>
    <t>Live completion dashboard</t>
  </si>
  <si>
    <t>1</t>
  </si>
  <si>
    <t>Use primary/authoritative sources where possible. Verify URLs before final submission.</t>
  </si>
  <si>
    <t>Paste the verbatim prompt and output reference for every interaction. Template prompts are not evidence until actually run, reviewed, and timestamped.</t>
  </si>
  <si>
    <t>Confirm 3-4 members; assign one scenario A-D to each member and at least three screens.</t>
  </si>
  <si>
    <t>Privacy: never paste unmasked participant contacts, recordings, private screenshots, passwords, OTPs, or authentication tokens into Codex.</t>
  </si>
  <si>
    <t>Source ID</t>
  </si>
  <si>
    <t>Checklist items</t>
  </si>
  <si>
    <t>Human additions</t>
  </si>
  <si>
    <t>Interaction ID</t>
  </si>
  <si>
    <t>Execution fails</t>
  </si>
  <si>
    <t>Incomplete execution cells</t>
  </si>
  <si>
    <t>Mean SUS</t>
  </si>
  <si>
    <t>ID</t>
  </si>
  <si>
    <t>Compatibility cells run</t>
  </si>
  <si>
    <t>Status</t>
  </si>
  <si>
    <t>Reference</t>
  </si>
  <si>
    <t>Findings logged</t>
  </si>
  <si>
    <t>2</t>
  </si>
  <si>
    <t>Stage</t>
  </si>
  <si>
    <t>Use in HW03</t>
  </si>
  <si>
    <t>Review the 56-item AI draft in Master Checklist. Each member adds at least one genuinely human-written EMS-specific item in the four blank rows.</t>
  </si>
  <si>
    <t>Prompt (verbatim)</t>
  </si>
  <si>
    <t>URL / Citation</t>
  </si>
  <si>
    <t>Tool / Model</t>
  </si>
  <si>
    <t>Checklist Item</t>
  </si>
  <si>
    <t>Verification Note</t>
  </si>
  <si>
    <t>Date &amp; Time</t>
  </si>
  <si>
    <t>SRC-01</t>
  </si>
  <si>
    <t>AI Output Ref</t>
  </si>
  <si>
    <t>Student Verdict</t>
  </si>
  <si>
    <t>Course slides: GUI + Usability + Compatibility Testing (AI-First, Combined)</t>
  </si>
  <si>
    <t>Student Modification / Verification</t>
  </si>
  <si>
    <t>Assignment-specific IA and lecture rules</t>
  </si>
  <si>
    <t>AI-000</t>
  </si>
  <si>
    <t>Course-provided material</t>
  </si>
  <si>
    <t>Record exact slide/page used in the final report.</t>
  </si>
  <si>
    <t>Used</t>
  </si>
  <si>
    <t>SRC-02</t>
  </si>
  <si>
    <t>Kickoff / requirements analysis</t>
  </si>
  <si>
    <t>Nielsen Norman Group - 10 Usability Heuristics for User Interface Design</t>
  </si>
  <si>
    <t>Đây là bài tập HW03 của tôi, bạn hãy hướng dẫn cho nhóm tôi và tôi hoàn thành đầy đủ bài tập này. AI Agent mà tôi sử dụng: Codex. Link website mới: https://prod-dev.ems-fitus.cloud/</t>
  </si>
  <si>
    <t>General heuristic mapping</t>
  </si>
  <si>
    <t>OpenAI Codex</t>
  </si>
  <si>
    <t>https://www.nngroup.com/articles/ten-usability-heuristics/</t>
  </si>
  <si>
    <t>2026-07-30 (add exact local time)</t>
  </si>
  <si>
    <t>Authoritative practitioner source.</t>
  </si>
  <si>
    <t>HW03 Working Pack + kickoff analysis</t>
  </si>
  <si>
    <t>SRC-03</t>
  </si>
  <si>
    <t>INCOMPLETE</t>
  </si>
  <si>
    <t>Ben Shneiderman - Eight Golden Rules of Interface Design</t>
  </si>
  <si>
    <t>Student must add scenario allocation, real execution, five-user data, screenshots, findings, and final verification.</t>
  </si>
  <si>
    <t>Consistency, feedback, closure, reversal, control, memory load</t>
  </si>
  <si>
    <t>AI-001</t>
  </si>
  <si>
    <t>https://www.cs.umd.edu/users/ben/goldenrules.html</t>
  </si>
  <si>
    <t>University of Maryland author page.</t>
  </si>
  <si>
    <t>Template - run only if needed</t>
  </si>
  <si>
    <t>SRC-04</t>
  </si>
  <si>
    <t>Checklist critique</t>
  </si>
  <si>
    <t>Audit the attached EMS GUI checklist against Nielsen's 10 heuristics, Norman's principles, Shneiderman's 8 golden rules, WCAG 2.2, and IA-01..IA-04. Do not invent EMS behavior. Return only: duplicates, ambiguous/non-testable items, uncovered risks, and proposed rewrites. Tag every proposal as AI-generated.</t>
  </si>
  <si>
    <t>Don Norman - The Design of Everyday Things</t>
  </si>
  <si>
    <t>Visibility, feedback, constraints, mapping, consistency, affordance/signifiers</t>
  </si>
  <si>
    <t>Norman, D. (2013). The Design of Everyday Things, Revised and Expanded.</t>
  </si>
  <si>
    <t>Use course terminology if the lecture defines the six principles differently.</t>
  </si>
  <si>
    <t>SRC-05</t>
  </si>
  <si>
    <t>W3C WAI - WCAG 2.2 Quick Reference</t>
  </si>
  <si>
    <t>AI-002</t>
  </si>
  <si>
    <t>Accessibility, keyboard, contrast, focus, labels, status messages</t>
  </si>
  <si>
    <t>Template - run only after human execution</t>
  </si>
  <si>
    <t>https://www.w3.org/WAI/WCAG22/quickref/</t>
  </si>
  <si>
    <t>Checklist execution review</t>
  </si>
  <si>
    <t>Review my completed checklist execution for [SCENARIO] on [SCREEN 1], [SCREEN 2], and [SCREEN 3]. Use only the Passed/Failed values, notes, and screenshot references I provide. Flag contradictions, missing failure reasons, duplicate bug IDs, and claims not supported by evidence. Do not change test results or invent observations.</t>
  </si>
  <si>
    <t>Normative WCAG mapping.</t>
  </si>
  <si>
    <t>SRC-06</t>
  </si>
  <si>
    <t>W3C WAI - Forms: Labeling Controls and Instructions</t>
  </si>
  <si>
    <t>Form labels and instructions</t>
  </si>
  <si>
    <t>https://www.w3.org/WAI/tutorials/forms/labels/</t>
  </si>
  <si>
    <t>AI-003</t>
  </si>
  <si>
    <t>Official W3C tutorial.</t>
  </si>
  <si>
    <t>Template - run only with de-identified data</t>
  </si>
  <si>
    <t>Usability analysis</t>
  </si>
  <si>
    <t>SRC-07</t>
  </si>
  <si>
    <t>Analyse the de-identified metrics and observation notes from five real-user sessions for [SCENARIO]. Cluster repeated pain points, separate isolated bugs from systemic usability issues, calculate success rate/mean time/mean errors from the supplied values, and propose severity 0-4 using frequency, impact, and persistence. Do not invent participants, quotes, scores, or screenshots.</t>
  </si>
  <si>
    <t>W3C WAI - Forms: Validating Input</t>
  </si>
  <si>
    <t>Validation and error recovery</t>
  </si>
  <si>
    <t>https://www.w3.org/WAI/tutorials/forms/validation/</t>
  </si>
  <si>
    <t>3</t>
  </si>
  <si>
    <t>Freeze the final shared checklist. Copy the same workbook to every member before individual execution.</t>
  </si>
  <si>
    <t>4</t>
  </si>
  <si>
    <t>AI-004</t>
  </si>
  <si>
    <t>SRC-08</t>
  </si>
  <si>
    <t>Each member updates Screen 1-3 names and runs every nonblank checklist item as Passed or Failed. Attach screenshots only for Failed items.</t>
  </si>
  <si>
    <t>Critical final checks</t>
  </si>
  <si>
    <t>Template - run after compatibility tests</t>
  </si>
  <si>
    <t>Nielsen Norman Group - Severity Ratings for Usability Problems</t>
  </si>
  <si>
    <t>Compatibility analysis</t>
  </si>
  <si>
    <t>5</t>
  </si>
  <si>
    <t>Severity scale 0-4</t>
  </si>
  <si>
    <t>Run one pilot plus five real-user sessions. Keep raw identifiable contacts outside AI tools; store only masked contacts here.</t>
  </si>
  <si>
    <t>Audit my compatibility matrix for each owned EMS screen. Verify that every screen covers at least three operating systems, five browsers, and three device classes; identify missing coverage and inconsistent Pass/Fail notes. Use only the attached matrix and screenshot references. Do not claim a platform was tested without evidence.</t>
  </si>
  <si>
    <t>All final checklist statuses are Passed/Failed; no blank or Not Run.</t>
  </si>
  <si>
    <t>https://www.nngroup.com/articles/how-to-rate-the-severity-of-usability-problems/</t>
  </si>
  <si>
    <t>Use frequency, impact, and persistence.</t>
  </si>
  <si>
    <t>6</t>
  </si>
  <si>
    <t>SRC-09</t>
  </si>
  <si>
    <t>Execute the five compatibility configurations for every screen and capture one screenshot for every cell.</t>
  </si>
  <si>
    <t>Five real participants are outside the class; masked contacts can be verified by the TA.</t>
  </si>
  <si>
    <t>BrowserStack Live Documentation</t>
  </si>
  <si>
    <t>AI-005</t>
  </si>
  <si>
    <t>Cross-browser/cross-device evidence planning</t>
  </si>
  <si>
    <t>Template - run after all logs are complete</t>
  </si>
  <si>
    <t>https://www.browserstack.com/docs/testing-toolkit/live</t>
  </si>
  <si>
    <t>7</t>
  </si>
  <si>
    <t>Final compliance audit</t>
  </si>
  <si>
    <t>Log every finding twice: Google Form and Findings Log. Counts, IDs, screenshots, and timestamps must match.</t>
  </si>
  <si>
    <t>Capture browser, OS, device, URL, and student email.</t>
  </si>
  <si>
    <t>Perform a requirement-by-requirement audit of my HW03 package against the course brief. For each requirement, return PASS, FAIL, or BLOCKED and cite the exact artifact/evidence path. Check cross-consistency among the main report, findings log, Google Form timestamps, screenshot references, AI audit, prompt log, README summary, and Git commit log. Do not fill missing evidence.</t>
  </si>
  <si>
    <t>Every compatibility screenshot shows MSSV email, EMS URL, browser, OS, and device identity.</t>
  </si>
  <si>
    <t>SRC-10</t>
  </si>
  <si>
    <t>John Brooke - System Usability Scale (SUS)</t>
  </si>
  <si>
    <t>Recommended minimal compatibility set - repeat all five cells for every owned screen</t>
  </si>
  <si>
    <t>10-item post-task questionnaire and 0-100 scoring</t>
  </si>
  <si>
    <t>OS</t>
  </si>
  <si>
    <t>Browser</t>
  </si>
  <si>
    <t>AI-006</t>
  </si>
  <si>
    <t>Brooke, J. (1996). SUS: A quick and dirty usability scale.</t>
  </si>
  <si>
    <t>Device class</t>
  </si>
  <si>
    <t>Example target</t>
  </si>
  <si>
    <t>Odd items: response-1; even items: 5-response; multiply sum by 2.5.</t>
  </si>
  <si>
    <t>Purpose</t>
  </si>
  <si>
    <t>Authoritative rule</t>
  </si>
  <si>
    <t xml:space="preserve">Checklist </t>
  </si>
  <si>
    <t>What it means</t>
  </si>
  <si>
    <t>SRC-11</t>
  </si>
  <si>
    <t>Workbook location</t>
  </si>
  <si>
    <t>Review items IA02-01 to IA02-14 and IA04-05 to IA04-09 based on Section 6, Task 1, Part A of the .md file. Keep table format intact. Verify/correct rows: if correct, add "claude" to "Add by"; if incorrect/missing, explain in "why did I miss it" and provide the corrected version.</t>
  </si>
  <si>
    <t>Final gate</t>
  </si>
  <si>
    <t>Nielsen Norman Group - Usability 101</t>
  </si>
  <si>
    <t>Windows 11</t>
  </si>
  <si>
    <t>Claude Sonnet 5</t>
  </si>
  <si>
    <t>Edge latest</t>
  </si>
  <si>
    <t>Desktop</t>
  </si>
  <si>
    <t>Effectiveness, efficiency, satisfaction; real-user testing</t>
  </si>
  <si>
    <t>1920x1080</t>
  </si>
  <si>
    <t>Primary Windows rendering</t>
  </si>
  <si>
    <t>https://www.nngroup.com/articles/usability-101-introduction-to-usability/</t>
  </si>
  <si>
    <t>Task 1A</t>
  </si>
  <si>
    <t>&gt;40 items across IA-01..IA-04 + sources + AI prompts</t>
  </si>
  <si>
    <t>Master Checklist / Sources / AI Prompts</t>
  </si>
  <si>
    <t>Supports user-testing rationale.</t>
  </si>
  <si>
    <t>Group</t>
  </si>
  <si>
    <t>SRC-12</t>
  </si>
  <si>
    <t>Firefox latest</t>
  </si>
  <si>
    <t>EMS Student Manual (live SUT)</t>
  </si>
  <si>
    <t>1366x768</t>
  </si>
  <si>
    <t>Non-Chromium layout and behavior</t>
  </si>
  <si>
    <t>Task 1B</t>
  </si>
  <si>
    <t>EMS functions and terminology</t>
  </si>
  <si>
    <t>Every nonblank item is Passed or Failed per screen</t>
  </si>
  <si>
    <t>Execution</t>
  </si>
  <si>
    <t>https://prod-dev.ems-fitus.cloud/manual/student</t>
  </si>
  <si>
    <t>Individual</t>
  </si>
  <si>
    <t>macOS</t>
  </si>
  <si>
    <t>Re-check because live content may change.</t>
  </si>
  <si>
    <t>Safari latest</t>
  </si>
  <si>
    <t>1440x900</t>
  </si>
  <si>
    <t>WebKit/macOS coverage</t>
  </si>
  <si>
    <t>SRC-13</t>
  </si>
  <si>
    <t>Task 2</t>
  </si>
  <si>
    <t>Pilot + five real users + SUS + ranked findings</t>
  </si>
  <si>
    <t>2026.HW03.GUI Usability EMS_En.md</t>
  </si>
  <si>
    <t>User Testing / SUS / Usability Findings</t>
  </si>
  <si>
    <t>Authoritative homework requirements</t>
  </si>
  <si>
    <t>Android 15</t>
  </si>
  <si>
    <t>Chrome mobile</t>
  </si>
  <si>
    <t>Course-provided brief</t>
  </si>
  <si>
    <t>Phone</t>
  </si>
  <si>
    <t>Pixel 9 / 412x915</t>
  </si>
  <si>
    <t>Use the detailed brief when a summary slide is ambiguous.</t>
  </si>
  <si>
    <t>Phone responsive behavior</t>
  </si>
  <si>
    <t>Task 3</t>
  </si>
  <si>
    <t>Each screen covers 3 OS, 5 browsers, 3 device classes</t>
  </si>
  <si>
    <t>Compatibility</t>
  </si>
  <si>
    <t>Android 14</t>
  </si>
  <si>
    <t>Samsung Internet</t>
  </si>
  <si>
    <t>Tablet</t>
  </si>
  <si>
    <t>Galaxy Tab S9 / 800x1280</t>
  </si>
  <si>
    <t>Tablet + fifth browser</t>
  </si>
  <si>
    <t>Section 7</t>
  </si>
  <si>
    <t>Every finding appears in Form and aggregated log</t>
  </si>
  <si>
    <t>Findings Log</t>
  </si>
  <si>
    <t>Task 1B - Checklist Execution on Three Screens</t>
  </si>
  <si>
    <t>Rename Screen 1-3 below. Final state: every nonblank checklist item is Passed or Failed for all three screens; screenshots are required for Failed items only.</t>
  </si>
  <si>
    <t>Scenario</t>
  </si>
  <si>
    <t>Screen 1</t>
  </si>
  <si>
    <t>Screen 2</t>
  </si>
  <si>
    <t>Screen 3</t>
  </si>
  <si>
    <t>&lt;A/B/C/D&gt;</t>
  </si>
  <si>
    <t>Task 2 - Pilot + Five Real-User Sessions</t>
  </si>
  <si>
    <t>&lt;Enter exact screen name&gt;</t>
  </si>
  <si>
    <t>Participants must be real people outside the class. Store only masked contacts here. Keep consent and raw evidence in the protected submission folder.</t>
  </si>
  <si>
    <t>Goal-based scenario (do not provide click-by-click steps): &lt;Write one realistic scenario that traverses the same three screens used in Task 1B and Task 3&gt;.</t>
  </si>
  <si>
    <t>Session ID</t>
  </si>
  <si>
    <t>Participant Alias</t>
  </si>
  <si>
    <t>Target Profile</t>
  </si>
  <si>
    <t>IA</t>
  </si>
  <si>
    <t>Masked Contact</t>
  </si>
  <si>
    <t>Consent</t>
  </si>
  <si>
    <t>Recording Consent</t>
  </si>
  <si>
    <t>Screen 1 Status</t>
  </si>
  <si>
    <t>Screen 1 Notes</t>
  </si>
  <si>
    <t>Task Success</t>
  </si>
  <si>
    <t>Screen 1 Screenshot Ref</t>
  </si>
  <si>
    <t>Time (sec)</t>
  </si>
  <si>
    <t>Screen 2 Status</t>
  </si>
  <si>
    <t>Errors</t>
  </si>
  <si>
    <t>Hesitations</t>
  </si>
  <si>
    <t>Screen 2 Notes</t>
  </si>
  <si>
    <t>Assistance Count</t>
  </si>
  <si>
    <t>Screen 2 Screenshot Ref</t>
  </si>
  <si>
    <t>Raw Notes / Recording Ref</t>
  </si>
  <si>
    <t>Screen 3 Status</t>
  </si>
  <si>
    <t>Pilot</t>
  </si>
  <si>
    <t>Screen 3 Notes</t>
  </si>
  <si>
    <t>Screen 3 Screenshot Ref</t>
  </si>
  <si>
    <t>P1</t>
  </si>
  <si>
    <t>System Usability Scale (SUS) - Five Participants</t>
  </si>
  <si>
    <t>Responses use 1=Strongly Disagree to 5=Strongly Agree. Odd items contribute response-1; even items contribute 5-response; total x 2.5.</t>
  </si>
  <si>
    <t>Participant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</si>
  <si>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</si>
  <si>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</si>
  <si>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</si>
  <si>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</si>
  <si>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</si>
  <si>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</si>
  <si>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</si>
  <si>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</si>
  <si>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</si>
  <si>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</si>
  <si>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Contribution Sum</t>
  </si>
  <si>
    <t>SUS Score</t>
  </si>
  <si>
    <t>P2</t>
  </si>
  <si>
    <t>P3</t>
  </si>
  <si>
    <t>P4</t>
  </si>
  <si>
    <t>P5</t>
  </si>
  <si>
    <t>Five-session metrics (pilot excluded)</t>
  </si>
  <si>
    <t>Completion Rate</t>
  </si>
  <si>
    <t>Mean Time (sec)</t>
  </si>
  <si>
    <t>Mean Errors</t>
  </si>
  <si>
    <t>Mean Hesitations</t>
  </si>
  <si>
    <t>Probe</t>
  </si>
  <si>
    <t>Question</t>
  </si>
  <si>
    <t>Item</t>
  </si>
  <si>
    <t>Standard SUS Statement</t>
  </si>
  <si>
    <t>I think that I would like to use this system frequently.</t>
  </si>
  <si>
    <t>Clarity</t>
  </si>
  <si>
    <t>Which part of the page or wording was least clear?</t>
  </si>
  <si>
    <t>Recovery</t>
  </si>
  <si>
    <t>When something went wrong, what helped or blocked your recovery?</t>
  </si>
  <si>
    <t>Speed</t>
  </si>
  <si>
    <t>I found the system unnecessarily complex.</t>
  </si>
  <si>
    <t>Which step felt slower or more effortful than expected?</t>
  </si>
  <si>
    <t>Trust</t>
  </si>
  <si>
    <t>At which point did you feel most or least confident that EMS had saved the correct state?</t>
  </si>
  <si>
    <t>Improvement</t>
  </si>
  <si>
    <t>If you could change one thing in this flow, what would it be?</t>
  </si>
  <si>
    <t>I thought the system was easy to use.</t>
  </si>
  <si>
    <t>I think that I would need the support of a technical person to be able to use this system.</t>
  </si>
  <si>
    <t>I found the various functions in this system were well integrated.</t>
  </si>
  <si>
    <t>I thought there was too much inconsistency in this system.</t>
  </si>
  <si>
    <t>I would imagine that most people would learn to use this system very quickly.</t>
  </si>
  <si>
    <t>I found the system very cumbersome to use.</t>
  </si>
  <si>
    <t>I felt very confident using the system.</t>
  </si>
  <si>
    <t>I needed to learn a lot of things before I could get going with this system.</t>
  </si>
  <si>
    <t>Task 3 - Cross-Browser / Cross-Platform Matrix</t>
  </si>
  <si>
    <t>Repeat five configurations for each screen. Every screenshot must show student-ID email overlay, EMS URL, browser, OS, and device identity.</t>
  </si>
  <si>
    <t>Replace Screen 1-3 with exact names. Use BrowserStack/LambdaTest or real devices. Do not mark Passed/Failed without the required screenshot.</t>
  </si>
  <si>
    <t>Cell ID</t>
  </si>
  <si>
    <t>Screen</t>
  </si>
  <si>
    <t>Operating System</t>
  </si>
  <si>
    <t>Device Class</t>
  </si>
  <si>
    <t>Specific Device / OS Version</t>
  </si>
  <si>
    <t>Viewport / Resolution</t>
  </si>
  <si>
    <t>Result</t>
  </si>
  <si>
    <t>Screenshot Ref</t>
  </si>
  <si>
    <t>Notes / Defect</t>
  </si>
  <si>
    <t>Task 2 - Ranked Usability Findings</t>
  </si>
  <si>
    <t>Test Date</t>
  </si>
  <si>
    <t>Tester</t>
  </si>
  <si>
    <t>Severity uses Nielsen 0-4. Base the score on observed frequency, impact, and persistence; each finding needs real evidence.</t>
  </si>
  <si>
    <t>Environment Type</t>
  </si>
  <si>
    <t>S1-C1</t>
  </si>
  <si>
    <t>Finding ID</t>
  </si>
  <si>
    <t>&lt;Screen 1&gt;</t>
  </si>
  <si>
    <t>Finding</t>
  </si>
  <si>
    <t>Affected Screen(s)</t>
  </si>
  <si>
    <t>BrowserStack Windows 11 desktop</t>
  </si>
  <si>
    <t>Participants Affected</t>
  </si>
  <si>
    <t>Not Run</t>
  </si>
  <si>
    <t>Evidence / Screenshot Ref</t>
  </si>
  <si>
    <t>Severity 0-4</t>
  </si>
  <si>
    <t>Frequency</t>
  </si>
  <si>
    <t>23127430 - Dinh Hoang Nam</t>
  </si>
  <si>
    <t>Impact</t>
  </si>
  <si>
    <t>Cloud real browser</t>
  </si>
  <si>
    <t>Persistence</t>
  </si>
  <si>
    <t>S1-C2</t>
  </si>
  <si>
    <t>Type</t>
  </si>
  <si>
    <t>Heuristic</t>
  </si>
  <si>
    <t>Recommendation</t>
  </si>
  <si>
    <t>S1-C3</t>
  </si>
  <si>
    <t>BrowserStack macOS Sonoma/Sequoia</t>
  </si>
  <si>
    <t>S1-C4</t>
  </si>
  <si>
    <t>Chrome mobile latest</t>
  </si>
  <si>
    <t>Google Pixel 9</t>
  </si>
  <si>
    <t>412x915</t>
  </si>
  <si>
    <t>Cloud/real device</t>
  </si>
  <si>
    <t>S1-C5</t>
  </si>
  <si>
    <t>Samsung Internet latest</t>
  </si>
  <si>
    <t>Samsung Galaxy Tab S9</t>
  </si>
  <si>
    <t>800x1280</t>
  </si>
  <si>
    <t>S2-C1</t>
  </si>
  <si>
    <t>&lt;Screen 2&gt;</t>
  </si>
  <si>
    <t>S2-C2</t>
  </si>
  <si>
    <t>S2-C3</t>
  </si>
  <si>
    <t>S2-C4</t>
  </si>
  <si>
    <t>S2-C5</t>
  </si>
  <si>
    <t>S3-C1</t>
  </si>
  <si>
    <t>&lt;Screen 3&gt;</t>
  </si>
  <si>
    <t>S3-C2</t>
  </si>
  <si>
    <t>S3-C3</t>
  </si>
  <si>
    <t>S3-C4</t>
  </si>
  <si>
    <t>S3-C5</t>
  </si>
  <si>
    <t>Bug &amp; Usability Findings Log - Must Match Google Form</t>
  </si>
  <si>
    <t>Every defect and usability improvement from Tasks 1-3 appears here and in the Google Form with matching ID, count, evidence, and timestamp.</t>
  </si>
  <si>
    <t>Reporter email: 23127430@....edu.vn - replace with the exact student-ID email requested by the Form. Submit the Form manually and copy the confirmation timestamp here.</t>
  </si>
  <si>
    <t>Scenario / Screen</t>
  </si>
  <si>
    <t>Description</t>
  </si>
  <si>
    <t>Steps / Heuristic</t>
  </si>
  <si>
    <t>Expected</t>
  </si>
  <si>
    <t>Actual</t>
  </si>
  <si>
    <t>Severity</t>
  </si>
  <si>
    <t>Suggested Fix</t>
  </si>
  <si>
    <t>Source Task</t>
  </si>
  <si>
    <t>Form Submission Timestamp</t>
  </si>
  <si>
    <t>Form Confirmation / Response Ref</t>
  </si>
  <si>
    <t>Reporter Email</t>
  </si>
  <si>
    <t>Main Report and Submission Map</t>
  </si>
  <si>
    <t>Use this as the Markdown/PDF outline. Each claim must point to a real table, screenshot, recording, or log entry.</t>
  </si>
  <si>
    <t>Section</t>
  </si>
  <si>
    <t>Required Content</t>
  </si>
  <si>
    <t>Primary Evidence</t>
  </si>
  <si>
    <t>Owner</t>
  </si>
  <si>
    <t>Done?</t>
  </si>
  <si>
    <t>Cover / Metadata</t>
  </si>
  <si>
    <t>Student, ID, group, scenario, screens, SUT URL, test dates, environment</t>
  </si>
  <si>
    <t>README and Git metadata</t>
  </si>
  <si>
    <t>1. Assignment Scope</t>
  </si>
  <si>
    <t>Chosen scenario, at least three screens, justification, exclusions</t>
  </si>
  <si>
    <t>Screen inventory</t>
  </si>
  <si>
    <t>2. Shared Checklist Method</t>
  </si>
  <si>
    <t>&gt;40 items, IA coverage, AI draft, human review/additions, references, prompts</t>
  </si>
  <si>
    <t>Master Checklist, Sources, AI Prompts</t>
  </si>
  <si>
    <t>3. Checklist Execution</t>
  </si>
  <si>
    <t>Passed/Failed per item per screen; failure notes and screenshots</t>
  </si>
  <si>
    <t>Execution sheet + failed screenshots</t>
  </si>
  <si>
    <t>4. Bug Reports</t>
  </si>
  <si>
    <t>Screen, steps, expected, actual, severity, screenshot</t>
  </si>
  <si>
    <t>Findings Log + Form confirmations</t>
  </si>
  <si>
    <t>5. User Testing Plan</t>
  </si>
  <si>
    <t>Goal scenario, metrics, participant criteria, consent, pilot changes</t>
  </si>
  <si>
    <t>User Testing sheet + consent refs</t>
  </si>
  <si>
    <t>6. Five Sessions</t>
  </si>
  <si>
    <t>Masked participant table, observation notes, success/time/errors/hesitations</t>
  </si>
  <si>
    <t>Raw notes and recordings</t>
  </si>
  <si>
    <t>7. SUS and Analysis</t>
  </si>
  <si>
    <t>SUS scoring, aggregate metrics, ranked findings 0-4, screenshots, recommendations</t>
  </si>
  <si>
    <t>SUS + Usability Findings</t>
  </si>
  <si>
    <t>8. Compatibility</t>
  </si>
  <si>
    <t>Matrix per screen, coverage proof, Pass/Fail, screenshot per cell</t>
  </si>
  <si>
    <t>Compatibility + screenshots</t>
  </si>
  <si>
    <t>9. Consolidated Findings</t>
  </si>
  <si>
    <t>Counts and full log consistent with Google Form</t>
  </si>
  <si>
    <t>10. Agent Skill</t>
  </si>
  <si>
    <t>Purpose, inputs, workflow, safeguards, outputs, demo links</t>
  </si>
  <si>
    <t>SKILL.md + video links</t>
  </si>
  <si>
    <t>11. AI Critique</t>
  </si>
  <si>
    <t>200-300 words on concrete AI errors, causes, and collaboration lesson</t>
  </si>
  <si>
    <t>Student-authored critique</t>
  </si>
  <si>
    <t>Appendix A - AI Audit</t>
  </si>
  <si>
    <t>Tool, timestamp, verbatim prompt/output, VALID/INVALID/INCOMPLETE, correction</t>
  </si>
  <si>
    <t>AI Prompts + audit report</t>
  </si>
  <si>
    <t>Appendix B - Git Log</t>
  </si>
  <si>
    <t>One commit per procedure step</t>
  </si>
  <si>
    <t>git_commit_log.txt</t>
  </si>
  <si>
    <t>README / Self-assessment</t>
  </si>
  <si>
    <t>Rubric score, test summary, counts, demo links</t>
  </si>
  <si>
    <t>README.md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</si>
</sst>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"/>
    <numFmt numFmtId="165" formatCode="0.0%"/>
    <numFmt numFmtId="166" formatCode="yyyy\-mm\-dd"/>
    <numFmt numFmtId="167" formatCode="yyyy\-mm\-dd\ hh:mm"/>
  </numFmts>
  <fonts count="17">
    <font>
      <sz val="11"/>
      <color rgb="FF000000"/>
      <name val="Carlito"/>
      <scheme val="minor"/>
    </font>
    <font>
      <b/>
      <sz val="18"/>
      <color rgb="FFFFFFFF"/>
      <name val="Carlito"/>
    </font>
    <font>
      <i/>
      <sz val="10"/>
      <color rgb="FF0B3A53"/>
      <name val="Carlito"/>
    </font>
    <font>
      <b/>
      <sz val="10"/>
      <color rgb="FF991B1B"/>
      <name val="Carlito"/>
    </font>
    <font>
      <b/>
      <sz val="10"/>
      <color rgb="FFFFFFFF"/>
      <name val="Carlito"/>
    </font>
    <font>
      <b/>
      <sz val="11"/>
      <color rgb="FFFFFFFF"/>
      <name val="Carlito"/>
    </font>
    <font>
      <sz val="9"/>
      <color rgb="FF17202A"/>
      <name val="Carlito"/>
    </font>
    <font>
      <b/>
      <sz val="11"/>
      <color rgb="FF991B1B"/>
      <name val="Carlito"/>
    </font>
    <font>
      <b/>
      <sz val="11"/>
      <color rgb="FF9A3412"/>
      <name val="Carlito"/>
    </font>
    <font>
      <b/>
      <sz val="13"/>
      <color rgb="FF0B3A53"/>
      <name val="Carlito"/>
    </font>
    <font>
      <sz val="10"/>
      <color rgb="FF7C2D12"/>
      <name val="Carlito"/>
    </font>
    <font>
      <sz val="11"/>
      <name val="Carlito"/>
    </font>
    <font>
      <sz val="9"/>
      <color theme="1"/>
      <name val="Carlito"/>
    </font>
    <font>
      <sz val="9"/>
      <color theme="1"/>
      <name val="Carlito"/>
      <scheme val="minor"/>
    </font>
    <font>
      <sz val="11"/>
      <color theme="1"/>
      <name val="Carlito"/>
      <scheme val="minor"/>
    </font>
    <font>
      <b/>
      <sz val="11"/>
      <color rgb="FF0B3A53"/>
      <name val="Carlito"/>
    </font>
    <font>
      <b/>
      <sz val="12"/>
      <color rgb="FF17202A"/>
      <name val="Carlito"/>
    </font>
  </fonts>
  <fills count="10">
    <fill>
      <patternFill patternType="none"/>
    </fill>
    <fill>
      <patternFill patternType="gray125"/>
    </fill>
    <fill>
      <patternFill patternType="solid">
        <fgColor rgb="FF0B3A53"/>
        <bgColor rgb="FF0B3A53"/>
      </patternFill>
    </fill>
    <fill>
      <patternFill patternType="solid">
        <fgColor rgb="FFE8F8FB"/>
        <bgColor rgb="FFE8F8FB"/>
      </patternFill>
    </fill>
    <fill>
      <patternFill patternType="solid">
        <fgColor rgb="FFFEE2E2"/>
        <bgColor rgb="FFFEE2E2"/>
      </patternFill>
    </fill>
    <fill>
      <patternFill patternType="solid">
        <fgColor rgb="FF087F8C"/>
        <bgColor rgb="FF087F8C"/>
      </patternFill>
    </fill>
    <fill>
      <patternFill patternType="solid">
        <fgColor rgb="FFFFF2DF"/>
        <bgColor rgb="FFFFF2DF"/>
      </patternFill>
    </fill>
    <fill>
      <patternFill patternType="solid">
        <fgColor rgb="FFEAF2F8"/>
        <bgColor rgb="FFEAF2F8"/>
      </patternFill>
    </fill>
    <fill>
      <patternFill patternType="solid">
        <fgColor rgb="FFF59E0B"/>
        <bgColor rgb="FFF59E0B"/>
      </patternFill>
    </fill>
    <fill>
      <patternFill patternType="solid">
        <fgColor rgb="FFF8FAFC"/>
        <bgColor rgb="FFF8FAFC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B3A53"/>
      </bottom>
      <diagonal/>
    </border>
    <border>
      <left/>
      <right/>
      <top/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FED7AA"/>
      </bottom>
      <diagonal/>
    </border>
    <border>
      <left/>
      <right/>
      <top style="thin">
        <color rgb="FFFED7AA"/>
      </top>
      <bottom style="thin">
        <color rgb="FFFED7AA"/>
      </bottom>
      <diagonal/>
    </border>
    <border>
      <left/>
      <right/>
      <top style="thin">
        <color rgb="FFE2E8F0"/>
      </top>
      <bottom/>
      <diagonal/>
    </border>
    <border>
      <left/>
      <right/>
      <top style="thin">
        <color rgb="FFFED7AA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4" fillId="5" borderId="1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9" fillId="7" borderId="0" xfId="0" applyFont="1" applyFill="1" applyAlignment="1">
      <alignment horizontal="center" vertical="center"/>
    </xf>
    <xf numFmtId="164" fontId="9" fillId="7" borderId="0" xfId="0" applyNumberFormat="1" applyFont="1" applyFill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0" xfId="0" applyFont="1" applyFill="1" applyAlignment="1">
      <alignment wrapText="1"/>
    </xf>
    <xf numFmtId="164" fontId="6" fillId="0" borderId="2" xfId="0" applyNumberFormat="1" applyFont="1" applyBorder="1" applyAlignment="1">
      <alignment vertical="center" wrapText="1"/>
    </xf>
    <xf numFmtId="164" fontId="6" fillId="0" borderId="3" xfId="0" applyNumberFormat="1" applyFont="1" applyBorder="1" applyAlignment="1">
      <alignment vertical="center" wrapText="1"/>
    </xf>
    <xf numFmtId="0" fontId="15" fillId="7" borderId="0" xfId="0" applyFont="1" applyFill="1"/>
    <xf numFmtId="165" fontId="16" fillId="9" borderId="0" xfId="0" applyNumberFormat="1" applyFont="1" applyFill="1"/>
    <xf numFmtId="0" fontId="16" fillId="9" borderId="0" xfId="0" applyFont="1" applyFill="1"/>
    <xf numFmtId="164" fontId="6" fillId="0" borderId="6" xfId="0" applyNumberFormat="1" applyFont="1" applyBorder="1" applyAlignment="1">
      <alignment vertical="center" wrapText="1"/>
    </xf>
    <xf numFmtId="164" fontId="9" fillId="7" borderId="0" xfId="0" applyNumberFormat="1" applyFont="1" applyFill="1"/>
    <xf numFmtId="166" fontId="6" fillId="0" borderId="2" xfId="0" applyNumberFormat="1" applyFont="1" applyBorder="1" applyAlignment="1">
      <alignment vertical="center" wrapText="1"/>
    </xf>
    <xf numFmtId="166" fontId="6" fillId="0" borderId="3" xfId="0" applyNumberFormat="1" applyFont="1" applyBorder="1" applyAlignment="1">
      <alignment vertical="center" wrapText="1"/>
    </xf>
    <xf numFmtId="166" fontId="6" fillId="0" borderId="6" xfId="0" applyNumberFormat="1" applyFont="1" applyBorder="1" applyAlignment="1">
      <alignment vertical="center" wrapText="1"/>
    </xf>
    <xf numFmtId="167" fontId="6" fillId="0" borderId="2" xfId="0" applyNumberFormat="1" applyFont="1" applyBorder="1" applyAlignment="1">
      <alignment vertical="center" wrapText="1"/>
    </xf>
    <xf numFmtId="167" fontId="6" fillId="0" borderId="3" xfId="0" applyNumberFormat="1" applyFont="1" applyBorder="1" applyAlignment="1">
      <alignment vertical="center" wrapText="1"/>
    </xf>
    <xf numFmtId="167" fontId="6" fillId="0" borderId="6" xfId="0" applyNumberFormat="1" applyFont="1" applyBorder="1" applyAlignment="1">
      <alignment vertical="center" wrapText="1"/>
    </xf>
    <xf numFmtId="0" fontId="10" fillId="6" borderId="7" xfId="0" applyFont="1" applyFill="1" applyBorder="1" applyAlignment="1">
      <alignment vertical="center" wrapText="1"/>
    </xf>
    <xf numFmtId="0" fontId="11" fillId="0" borderId="7" xfId="0" applyFont="1" applyBorder="1"/>
    <xf numFmtId="0" fontId="5" fillId="2" borderId="0" xfId="0" applyFont="1" applyFill="1"/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5" fillId="5" borderId="0" xfId="0" applyFont="1" applyFill="1" applyAlignment="1">
      <alignment horizontal="center" vertical="center"/>
    </xf>
    <xf numFmtId="0" fontId="5" fillId="8" borderId="0" xfId="0" applyFont="1" applyFill="1" applyAlignment="1">
      <alignment vertical="center"/>
    </xf>
    <xf numFmtId="0" fontId="10" fillId="6" borderId="4" xfId="0" applyFont="1" applyFill="1" applyBorder="1" applyAlignment="1">
      <alignment vertical="center" wrapText="1"/>
    </xf>
    <xf numFmtId="0" fontId="11" fillId="0" borderId="4" xfId="0" applyFont="1" applyBorder="1"/>
    <xf numFmtId="0" fontId="10" fillId="6" borderId="5" xfId="0" applyFont="1" applyFill="1" applyBorder="1" applyAlignment="1">
      <alignment vertical="center" wrapText="1"/>
    </xf>
    <xf numFmtId="0" fontId="11" fillId="0" borderId="5" xfId="0" applyFont="1" applyBorder="1"/>
    <xf numFmtId="0" fontId="8" fillId="6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6" fillId="0" borderId="3" xfId="0" applyFont="1" applyBorder="1" applyAlignment="1">
      <alignment vertical="center" wrapText="1"/>
    </xf>
    <xf numFmtId="0" fontId="11" fillId="0" borderId="3" xfId="0" applyFont="1" applyBorder="1"/>
    <xf numFmtId="0" fontId="6" fillId="0" borderId="6" xfId="0" applyFont="1" applyBorder="1" applyAlignment="1">
      <alignment vertical="center" wrapText="1"/>
    </xf>
    <xf numFmtId="0" fontId="11" fillId="0" borderId="6" xfId="0" applyFont="1" applyBorder="1"/>
    <xf numFmtId="0" fontId="4" fillId="5" borderId="1" xfId="0" applyFont="1" applyFill="1" applyBorder="1" applyAlignment="1">
      <alignment horizontal="center" vertical="center" wrapText="1"/>
    </xf>
    <xf numFmtId="0" fontId="11" fillId="0" borderId="1" xfId="0" applyFont="1" applyBorder="1"/>
    <xf numFmtId="0" fontId="6" fillId="0" borderId="2" xfId="0" applyFont="1" applyBorder="1" applyAlignment="1">
      <alignment vertical="center" wrapText="1"/>
    </xf>
    <xf numFmtId="0" fontId="11" fillId="0" borderId="2" xfId="0" applyFont="1" applyBorder="1"/>
  </cellXfs>
  <cellStyles count="1">
    <cellStyle name="Normal" xfId="0" builtinId="0"/>
  </cellStyles>
  <dxfs count="60"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font>
        <color rgb="FF64748B"/>
      </font>
      <fill>
        <patternFill patternType="solid">
          <fgColor rgb="FFF8FAFC"/>
          <bgColor rgb="FFF8FAFC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A3412"/>
      </font>
      <fill>
        <patternFill patternType="solid">
          <fgColor rgb="FFFFF2DF"/>
          <bgColor rgb="FFFFF2DF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FFFFFF"/>
      </font>
      <fill>
        <patternFill patternType="solid">
          <fgColor rgb="FF7F1D1D"/>
          <bgColor rgb="FF7F1D1D"/>
        </patternFill>
      </fill>
    </dxf>
    <dxf>
      <font>
        <color rgb="FF64748B"/>
      </font>
      <fill>
        <patternFill patternType="solid">
          <fgColor rgb="FFF8FAFC"/>
          <bgColor rgb="FFF8FAFC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A3412"/>
      </font>
      <fill>
        <patternFill patternType="solid">
          <fgColor rgb="FFFFF2DF"/>
          <bgColor rgb="FFFFF2DF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FFFFFF"/>
      </font>
      <fill>
        <patternFill patternType="solid">
          <fgColor rgb="FF7F1D1D"/>
          <bgColor rgb="FF7F1D1D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font>
        <color rgb="FF854D0E"/>
      </font>
      <fill>
        <patternFill patternType="solid">
          <fgColor rgb="FFFEF9C3"/>
          <bgColor rgb="FFFEF9C3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9">
    <tableStyle name="AI Prompts-style" pivot="0" count="4" xr9:uid="{00000000-0011-0000-FFFF-FFFF00000000}">
      <tableStyleElement type="wholeTable" size="0" dxfId="56"/>
      <tableStyleElement type="headerRow" dxfId="59"/>
      <tableStyleElement type="firstRowStripe" dxfId="58"/>
      <tableStyleElement type="secondRowStripe" dxfId="57"/>
    </tableStyle>
    <tableStyle name="Master Checklist-style" pivot="0" count="4" xr9:uid="{00000000-0011-0000-FFFF-FFFF01000000}">
      <tableStyleElement type="wholeTable" size="0" dxfId="52"/>
      <tableStyleElement type="headerRow" dxfId="55"/>
      <tableStyleElement type="firstRowStripe" dxfId="54"/>
      <tableStyleElement type="secondRowStripe" dxfId="53"/>
    </tableStyle>
    <tableStyle name="Sources-style" pivot="0" count="4" xr9:uid="{00000000-0011-0000-FFFF-FFFF02000000}">
      <tableStyleElement type="wholeTable" size="0" dxfId="48"/>
      <tableStyleElement type="headerRow" dxfId="51"/>
      <tableStyleElement type="firstRowStripe" dxfId="50"/>
      <tableStyleElement type="secondRowStripe" dxfId="49"/>
    </tableStyle>
    <tableStyle name="Execution-style" pivot="0" count="4" xr9:uid="{00000000-0011-0000-FFFF-FFFF03000000}">
      <tableStyleElement type="wholeTable" size="0" dxfId="44"/>
      <tableStyleElement type="headerRow" dxfId="47"/>
      <tableStyleElement type="firstRowStripe" dxfId="46"/>
      <tableStyleElement type="secondRowStripe" dxfId="45"/>
    </tableStyle>
    <tableStyle name="User Testing-style" pivot="0" count="4" xr9:uid="{00000000-0011-0000-FFFF-FFFF04000000}">
      <tableStyleElement type="wholeTable" size="0" dxfId="40"/>
      <tableStyleElement type="headerRow" dxfId="43"/>
      <tableStyleElement type="firstRowStripe" dxfId="42"/>
      <tableStyleElement type="secondRowStripe" dxfId="41"/>
    </tableStyle>
    <tableStyle name="Compatibility-style" pivot="0" count="4" xr9:uid="{00000000-0011-0000-FFFF-FFFF05000000}">
      <tableStyleElement type="wholeTable" size="0" dxfId="36"/>
      <tableStyleElement type="headerRow" dxfId="39"/>
      <tableStyleElement type="firstRowStripe" dxfId="38"/>
      <tableStyleElement type="secondRowStripe" dxfId="37"/>
    </tableStyle>
    <tableStyle name="Usability Findings-style" pivot="0" count="4" xr9:uid="{00000000-0011-0000-FFFF-FFFF06000000}">
      <tableStyleElement type="wholeTable" size="0" dxfId="32"/>
      <tableStyleElement type="headerRow" dxfId="35"/>
      <tableStyleElement type="firstRowStripe" dxfId="34"/>
      <tableStyleElement type="secondRowStripe" dxfId="33"/>
    </tableStyle>
    <tableStyle name="Findings Log-style" pivot="0" count="4" xr9:uid="{00000000-0011-0000-FFFF-FFFF07000000}">
      <tableStyleElement type="wholeTable" size="0" dxfId="28"/>
      <tableStyleElement type="headerRow" dxfId="31"/>
      <tableStyleElement type="firstRowStripe" dxfId="30"/>
      <tableStyleElement type="secondRowStripe" dxfId="29"/>
    </tableStyle>
    <tableStyle name="Report Outline-style" pivot="0" count="4" xr9:uid="{00000000-0011-0000-FFFF-FFFF08000000}">
      <tableStyleElement type="wholeTable" size="0" dxfId="24"/>
      <tableStyleElement type="headerRow" dxfId="27"/>
      <tableStyleElement type="firstRowStripe" dxfId="26"/>
      <tableStyleElement type="secondRowStripe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Checklist"/>
    </sheetNames>
    <sheetDataSet>
      <sheetData sheetId="0">
        <row r="6">
          <cell r="A6" t="str">
            <v>IA01-01</v>
          </cell>
          <cell r="B6" t="str">
            <v>IA-01 General UI</v>
          </cell>
          <cell r="C6" t="str">
            <v>Layout follows a consistent grid; labels, fields, cards, tables, and actions are aligned with no overlap or clipping.</v>
          </cell>
        </row>
        <row r="7">
          <cell r="A7" t="str">
            <v>IA01-02</v>
          </cell>
          <cell r="B7" t="str">
            <v>IA-01 General UI</v>
          </cell>
          <cell r="C7" t="str">
            <v>The page remains usable on desktop, tablet, and phone without unintended horizontal scrolling or hidden essential actions.</v>
          </cell>
        </row>
        <row r="8">
          <cell r="A8" t="str">
            <v>IA01-03</v>
          </cell>
          <cell r="B8" t="str">
            <v>IA-01 General UI</v>
          </cell>
          <cell r="C8" t="str">
            <v>Typography has a clear hierarchy and consistent fonts, sizes, capitalization, line spacing, and wrapping.</v>
          </cell>
        </row>
        <row r="9">
          <cell r="A9" t="str">
            <v>IA01-04</v>
          </cell>
          <cell r="B9" t="str">
            <v>IA-01 General UI</v>
          </cell>
          <cell r="C9" t="str">
            <v>Text and essential icons have sufficient contrast against their background, including hover, focus, disabled, and selected states.</v>
          </cell>
        </row>
        <row r="10">
          <cell r="A10" t="str">
            <v>IA01-05</v>
          </cell>
          <cell r="B10" t="str">
            <v>IA-01 General UI</v>
          </cell>
          <cell r="C10" t="str">
            <v>Meaning is not communicated by color alone; statuses also use text, icon, pattern, or another cue.</v>
          </cell>
        </row>
        <row r="11">
          <cell r="A11" t="str">
            <v>IA01-06</v>
          </cell>
          <cell r="B11" t="str">
            <v>IA-01 General UI</v>
          </cell>
          <cell r="C11" t="str">
            <v>Images and icons are sharp, use the expected aspect ratio, include useful alternative text, and do not distort.</v>
          </cell>
        </row>
        <row r="12">
          <cell r="A12" t="str">
            <v>IA01-07</v>
          </cell>
          <cell r="B12" t="str">
            <v>IA-01 General UI</v>
          </cell>
          <cell r="C12" t="str">
            <v>Interactive controls visibly distinguish default, hover, keyboard-focus, active, selected, and disabled states.</v>
          </cell>
        </row>
        <row r="13">
          <cell r="A13" t="str">
            <v>IA01-08</v>
          </cell>
          <cell r="B13" t="str">
            <v>IA-01 General UI</v>
          </cell>
          <cell r="C13" t="str">
            <v>English and Vietnamese are complete and consistent across visible text, page titles, validation messages, dialogs, toasts, and manuals.</v>
          </cell>
        </row>
        <row r="14">
          <cell r="A14" t="str">
            <v>IA01-09</v>
          </cell>
          <cell r="B14" t="str">
            <v>IA-01 General UI</v>
          </cell>
          <cell r="C14" t="str">
            <v>Dates, times, time zones, numbers, and percentages use an unambiguous and consistent locale format.</v>
          </cell>
        </row>
        <row r="15">
          <cell r="A15" t="str">
            <v>IA01-10</v>
          </cell>
          <cell r="B15" t="str">
            <v>IA-01 General UI</v>
          </cell>
          <cell r="C15" t="str">
            <v>Loading, empty, no-result, offline/server-error, and access-denied states are visually distinct and preserve layout stability.</v>
          </cell>
        </row>
        <row r="16">
          <cell r="A16" t="str">
            <v>IA01-11</v>
          </cell>
          <cell r="B16" t="str">
            <v>IA-01 General UI</v>
          </cell>
          <cell r="C16" t="str">
            <v>Terms, icons, role names, and status names match the vocabulary and mental model of students, lecturers, guests, and admins.</v>
          </cell>
        </row>
        <row r="17">
          <cell r="A17" t="str">
            <v>IA01-12</v>
          </cell>
          <cell r="B17" t="str">
            <v>IA-01 General UI</v>
          </cell>
          <cell r="C17" t="str">
            <v>Each screen shows only relevant information and actions; obsolete, duplicated, or low-priority content does not compete with the task.</v>
          </cell>
        </row>
        <row r="18">
          <cell r="A18" t="str">
            <v>IA01-13</v>
          </cell>
          <cell r="B18" t="str">
            <v>IA-01 General UI</v>
          </cell>
          <cell r="C18" t="str">
            <v>The browser page title, primary heading, and current route consistently identify the current screen.</v>
          </cell>
        </row>
        <row r="19">
          <cell r="A19" t="str">
            <v>IA01-14</v>
          </cell>
          <cell r="B19" t="str">
            <v>IA-01 General UI</v>
          </cell>
          <cell r="C19" t="str">
            <v>Content remains readable and operable when browser zoom is increased and when long translated text is displayed.</v>
          </cell>
        </row>
        <row r="20">
          <cell r="A20" t="str">
            <v>IA02-01</v>
          </cell>
          <cell r="B20" t="str">
            <v>IA-02 Forms</v>
          </cell>
          <cell r="C20" t="str">
            <v>Every input has a persistent, descriptive, programmatically associated label; placeholder text is not the only label.</v>
          </cell>
        </row>
        <row r="21">
          <cell r="A21" t="str">
            <v>IA02-02</v>
          </cell>
          <cell r="B21" t="str">
            <v>IA-02 Forms</v>
          </cell>
          <cell r="C21" t="str">
            <v>Required fields are clearly marked in text/symbol and exposed programmatically before submission.</v>
          </cell>
        </row>
        <row r="22">
          <cell r="A22" t="str">
            <v>IA02-03</v>
          </cell>
          <cell r="B22" t="str">
            <v>IA-02 Forms</v>
          </cell>
          <cell r="C22" t="str">
            <v>Input format, allowed values, limits, and examples are shown before entry for fields with password rules, max length/slots, date/time patterns, upload types, or numeric ranges.</v>
          </cell>
        </row>
        <row r="23">
          <cell r="A23" t="str">
            <v>IA02-04</v>
          </cell>
          <cell r="B23" t="str">
            <v>IA-02 Forms</v>
          </cell>
          <cell r="C23" t="str">
            <v>Form controls follow a logical keyboard order and each focused field/control has a visible focus indicator.</v>
          </cell>
        </row>
        <row r="24">
          <cell r="A24" t="str">
            <v>IA02-05</v>
          </cell>
          <cell r="B24" t="str">
            <v>IA-02 Forms</v>
          </cell>
          <cell r="C24" t="str">
            <v>Input type, keyboard, autocomplete, masking, and password visibility behavior suit the requested data.</v>
          </cell>
        </row>
        <row r="25">
          <cell r="A25" t="str">
            <v>IA02-06</v>
          </cell>
          <cell r="B25" t="str">
            <v>IA-02 Forms</v>
          </cell>
          <cell r="C25" t="str">
            <v>Validation occurs at an appropriate time and does not interrupt typing or show errors before the user can act.</v>
          </cell>
        </row>
        <row r="26">
          <cell r="A26" t="str">
            <v>IA02-07</v>
          </cell>
          <cell r="B26" t="str">
            <v>IA-02 Forms</v>
          </cell>
          <cell r="C26" t="str">
            <v>Each validation error is specific, written in plain language, placed near the relevant field, and not conveyed by color alone. Mark Pass only if all four conditions hold</v>
          </cell>
        </row>
        <row r="27">
          <cell r="A27" t="str">
            <v>IA02-08</v>
          </cell>
          <cell r="B27" t="str">
            <v>IA-02 Forms</v>
          </cell>
          <cell r="C27" t="str">
            <v>After failed submission, focus moves to a useful error location and the user can identify every invalid field. Mark Pass only if both hold.</v>
          </cell>
        </row>
        <row r="28">
          <cell r="A28" t="str">
            <v>IA02-09</v>
          </cell>
          <cell r="B28" t="str">
            <v>IA-02 Forms</v>
          </cell>
          <cell r="C28" t="str">
            <v>Non-sensitive values remain intact after validation or server errors so the user does not have to re-enter the form.</v>
          </cell>
        </row>
        <row r="29">
          <cell r="A29" t="str">
            <v>IA02-10</v>
          </cell>
          <cell r="B29" t="str">
            <v>IA-02 Forms</v>
          </cell>
          <cell r="C29" t="str">
            <v>Related date/time fields enforce valid ordering and explain conflicts among registration, event, and check-in periods.</v>
          </cell>
        </row>
        <row r="30">
          <cell r="A30" t="str">
            <v>IA02-11</v>
          </cell>
          <cell r="B30" t="str">
            <v>IA-02 Forms</v>
          </cell>
          <cell r="C30" t="str">
            <v>File upload shows allowed type, size, count, and aspect ratio; it provides preview, remove/replace, progress, and failure recovery.</v>
          </cell>
        </row>
        <row r="31">
          <cell r="A31" t="str">
            <v>IA02-12</v>
          </cell>
          <cell r="B31" t="str">
            <v>IA-02 Forms</v>
          </cell>
          <cell r="C31" t="str">
            <v>Rich-text controls have understandable labels, keyboard access, predictable formatting, and a reliable preview/output state.</v>
          </cell>
        </row>
        <row r="32">
          <cell r="A32" t="str">
            <v>IA02-13</v>
          </cell>
          <cell r="B32" t="str">
            <v>IA-02 Forms</v>
          </cell>
          <cell r="C32" t="str">
            <v>Role selectors, toggles, radio buttons, checkboxes, and dependent fields clearly show selection and enforce mutual-exclusion/dependency rules.</v>
          </cell>
        </row>
        <row r="33">
          <cell r="A33" t="str">
            <v>IA02-14</v>
          </cell>
          <cell r="B33" t="str">
            <v>IA-02 Forms</v>
          </cell>
          <cell r="C33" t="str">
            <v>Submit/save/publish controls prevent duplicate submission, show progress, and explain why they are disabled when prerequisites are unmet.</v>
          </cell>
        </row>
        <row r="34">
          <cell r="A34" t="str">
            <v>IA03-01</v>
          </cell>
          <cell r="B34" t="str">
            <v>IA-03 Navigation</v>
          </cell>
          <cell r="C34" t="str">
            <v>Global navigation, header, sidebar, and user menu remain consistent across screens and roles.</v>
          </cell>
        </row>
        <row r="35">
          <cell r="A35" t="str">
            <v>IA03-02</v>
          </cell>
          <cell r="B35" t="str">
            <v>IA-03 Navigation</v>
          </cell>
          <cell r="C35" t="str">
            <v>The current location is clearly indicated through active navigation, heading, breadcrumb, tab, or another visible cue.</v>
          </cell>
        </row>
        <row r="36">
          <cell r="A36" t="str">
            <v>IA03-03</v>
          </cell>
          <cell r="B36" t="str">
            <v>IA-03 Navigation</v>
          </cell>
          <cell r="C36" t="str">
            <v>Links navigate and buttons perform actions; labels accurately predict the destination or action.</v>
          </cell>
        </row>
        <row r="37">
          <cell r="A37" t="str">
            <v>IA03-04</v>
          </cell>
          <cell r="B37" t="str">
            <v>IA-03 Navigation</v>
          </cell>
          <cell r="C37" t="str">
            <v>Back, Cancel, Close, and Return actions lead to a predictable prior context without losing data unexpectedly.</v>
          </cell>
        </row>
        <row r="38">
          <cell r="A38" t="str">
            <v>IA03-05</v>
          </cell>
          <cell r="B38" t="str">
            <v>IA-03 Navigation</v>
          </cell>
          <cell r="C38" t="str">
            <v>Deep links open the intended screen after authentication; invalid, expired, or unauthorized links provide a safe recovery path.</v>
          </cell>
        </row>
        <row r="39">
          <cell r="A39" t="str">
            <v>IA03-06</v>
          </cell>
          <cell r="B39" t="str">
            <v>IA-03 Navigation</v>
          </cell>
          <cell r="C39" t="str">
            <v>Tabs and status filters show the selected state, update the correct content, and preserve a meaningful history/location.</v>
          </cell>
        </row>
        <row r="40">
          <cell r="A40" t="str">
            <v>IA03-07</v>
          </cell>
          <cell r="B40" t="str">
            <v>IA-03 Navigation</v>
          </cell>
          <cell r="C40" t="str">
            <v>Search and filters have clear labels, visible applied state, result count/empty state, Clear action, and predictable persistence.</v>
          </cell>
        </row>
        <row r="41">
          <cell r="A41" t="str">
            <v>IA03-08</v>
          </cell>
          <cell r="B41" t="str">
            <v>IA-03 Navigation</v>
          </cell>
          <cell r="C41" t="str">
            <v>All essential navigation can be completed with keyboard only, with no keyboard trap and a logical focus order.</v>
          </cell>
        </row>
        <row r="42">
          <cell r="A42" t="str">
            <v>IA03-09</v>
          </cell>
          <cell r="B42" t="str">
            <v>IA-03 Navigation</v>
          </cell>
          <cell r="C42" t="str">
            <v>Opening and closing a modal, drawer, menu, or lightbox moves and restores focus to a logical control.</v>
          </cell>
        </row>
        <row r="43">
          <cell r="A43" t="str">
            <v>IA03-10</v>
          </cell>
          <cell r="B43" t="str">
            <v>IA-03 Navigation</v>
          </cell>
          <cell r="C43" t="str">
            <v>Menus and overlays support expected dismissal methods such as Escape, explicit Close/Cancel, and safe outside-click behavior.</v>
          </cell>
        </row>
        <row r="44">
          <cell r="A44" t="str">
            <v>IA03-11</v>
          </cell>
          <cell r="B44" t="str">
            <v>IA-03 Navigation</v>
          </cell>
          <cell r="C44" t="str">
            <v>Drag-and-drop reordering has visible drop feedback, error recovery, and an alternative for users who cannot drag.</v>
          </cell>
        </row>
        <row r="45">
          <cell r="A45" t="str">
            <v>IA03-12</v>
          </cell>
          <cell r="B45" t="str">
            <v>IA-03 Navigation</v>
          </cell>
          <cell r="C45" t="str">
            <v>Pagination or infinite lists preserve filters and return the user to the previous item/scroll context.</v>
          </cell>
        </row>
        <row r="46">
          <cell r="A46" t="str">
            <v>IA03-13</v>
          </cell>
          <cell r="B46" t="str">
            <v>IA-03 Navigation</v>
          </cell>
          <cell r="C46" t="str">
            <v>External links and downloads are identifiable and do not unexpectedly replace an in-progress task.</v>
          </cell>
        </row>
        <row r="47">
          <cell r="A47" t="str">
            <v>IA03-14</v>
          </cell>
          <cell r="B47" t="str">
            <v>IA-03 Navigation</v>
          </cell>
          <cell r="C47" t="str">
            <v>Responsive navigation keeps all essential destinations and actions discoverable without accidental overlap or off-screen menus.</v>
          </cell>
        </row>
        <row r="48">
          <cell r="A48" t="str">
            <v>IA04-01</v>
          </cell>
          <cell r="B48" t="str">
            <v>IA-04 Feedback / State</v>
          </cell>
          <cell r="C48" t="str">
            <v>Every user action receives timely, proportionate, and understandable feedback.</v>
          </cell>
        </row>
        <row r="49">
          <cell r="A49" t="str">
            <v>IA04-02</v>
          </cell>
          <cell r="B49" t="str">
            <v>IA-04 Feedback / State</v>
          </cell>
          <cell r="C49" t="str">
            <v>Asynchronous operations show loading/progress and prevent conflicting actions while keeping the page responsive.</v>
          </cell>
        </row>
        <row r="50">
          <cell r="A50" t="str">
            <v>IA04-03</v>
          </cell>
          <cell r="B50" t="str">
            <v>IA-04 Feedback / State</v>
          </cell>
          <cell r="C50" t="str">
            <v>Success feedback states what changed and what the user can do next.</v>
          </cell>
        </row>
        <row r="51">
          <cell r="A51" t="str">
            <v>IA04-04</v>
          </cell>
          <cell r="B51" t="str">
            <v>IA-04 Feedback / State</v>
          </cell>
          <cell r="C51" t="str">
            <v>Failure feedback explains the problem, preserves useful state, and offers a concrete recovery or retry path.</v>
          </cell>
        </row>
        <row r="52">
          <cell r="A52" t="str">
            <v>IA04-05</v>
          </cell>
          <cell r="B52" t="str">
            <v>IA-04 Feedback / State</v>
          </cell>
          <cell r="C52" t="str">
            <v>Toasts and alerts are readable long enough, dismissible when appropriate, do not cover key controls, and are announced to assistive technology.</v>
          </cell>
        </row>
        <row r="53">
          <cell r="A53" t="str">
            <v>IA04-06</v>
          </cell>
          <cell r="B53" t="str">
            <v>IA-04 Feedback / State</v>
          </cell>
          <cell r="C53" t="str">
            <v>Status badges use consistent wording, color, iconography, and meaning across list, detail, notification, and report views.</v>
          </cell>
        </row>
        <row r="54">
          <cell r="A54" t="str">
            <v>IA04-07</v>
          </cell>
          <cell r="B54" t="str">
            <v>IA-04 Feedback / State</v>
          </cell>
          <cell r="C54" t="str">
            <v>Confirmation dialogs identify the object, consequence, and action; the safe choice is clear and keyboard focus is appropriate.</v>
          </cell>
        </row>
        <row r="55">
          <cell r="A55" t="str">
            <v>IA04-08</v>
          </cell>
          <cell r="B55" t="str">
            <v>IA-04 Feedback / State</v>
          </cell>
          <cell r="C55" t="str">
            <v>Users can cancel, undo, or reverse actions when reversal is technically reasonable.</v>
          </cell>
        </row>
        <row r="56">
          <cell r="A56" t="str">
            <v>IA04-09</v>
          </cell>
          <cell r="B56" t="str">
            <v>IA-04 Feedback / State</v>
          </cell>
          <cell r="C56" t="str">
            <v>Progress indicators are accurate, labeled, and clearly distinguish determinate from indeterminate work.</v>
          </cell>
        </row>
        <row r="57">
          <cell r="A57" t="str">
            <v>IA04-10</v>
          </cell>
          <cell r="B57" t="str">
            <v>IA-04 Feedback / State</v>
          </cell>
          <cell r="C57" t="str">
            <v>Real-time updates do not silently reorder content, overwrite edits, or remove the user's context; meaningful changes are announced.</v>
          </cell>
        </row>
        <row r="58">
          <cell r="A58" t="str">
            <v>IA04-11</v>
          </cell>
          <cell r="B58" t="str">
            <v>IA-04 Feedback / State</v>
          </cell>
          <cell r="C58" t="str">
            <v>Empty and no-result states explain why no content is shown and offer the next useful action.</v>
          </cell>
        </row>
        <row r="59">
          <cell r="A59" t="str">
            <v>IA04-12</v>
          </cell>
          <cell r="B59" t="str">
            <v>IA-04 Feedback / State</v>
          </cell>
          <cell r="C59" t="str">
            <v>Authentication, authorization, and session-expiry feedback clearly distinguish signed-out, forbidden, and server-failure states without exposing sensitive data.</v>
          </cell>
        </row>
        <row r="60">
          <cell r="A60" t="str">
            <v>IA04-13</v>
          </cell>
          <cell r="B60" t="str">
            <v>IA-04 Feedback / State</v>
          </cell>
          <cell r="C60" t="str">
            <v>Disabled controls expose the unmet prerequisite or condition instead of appearing broken.</v>
          </cell>
        </row>
        <row r="61">
          <cell r="A61" t="str">
            <v>IA04-14</v>
          </cell>
          <cell r="B61" t="str">
            <v>IA-04 Feedback / State</v>
          </cell>
          <cell r="C61" t="str">
            <v>Repeated clicks, refreshes, retries, or network reconnection do not create duplicate records or conflicting visible states.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SourcesTable" displayName="SourcesTable" ref="A5:E18">
  <tableColumns count="5">
    <tableColumn id="1" xr3:uid="{00000000-0010-0000-0100-000001000000}" name="Source ID"/>
    <tableColumn id="2" xr3:uid="{00000000-0010-0000-0100-000002000000}" name="Reference"/>
    <tableColumn id="3" xr3:uid="{00000000-0010-0000-0100-000003000000}" name="Use in HW03"/>
    <tableColumn id="4" xr3:uid="{00000000-0010-0000-0100-000004000000}" name="URL / Citation"/>
    <tableColumn id="5" xr3:uid="{00000000-0010-0000-0100-000005000000}" name="Verification Note"/>
  </tableColumns>
  <tableStyleInfo name="Sourc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AIPromptLogTable" displayName="AIPromptLogTable" ref="A5:I30">
  <tableColumns count="9">
    <tableColumn id="1" xr3:uid="{00000000-0010-0000-0200-000001000000}" name="Interaction ID"/>
    <tableColumn id="2" xr3:uid="{00000000-0010-0000-0200-000002000000}" name="Status"/>
    <tableColumn id="3" xr3:uid="{00000000-0010-0000-0200-000003000000}" name="Stage"/>
    <tableColumn id="4" xr3:uid="{00000000-0010-0000-0200-000004000000}" name="Prompt (verbatim)"/>
    <tableColumn id="5" xr3:uid="{00000000-0010-0000-0200-000005000000}" name="Tool / Model"/>
    <tableColumn id="6" xr3:uid="{00000000-0010-0000-0200-000006000000}" name="Date &amp; Time"/>
    <tableColumn id="7" xr3:uid="{00000000-0010-0000-0200-000007000000}" name="AI Output Ref"/>
    <tableColumn id="8" xr3:uid="{00000000-0010-0000-0200-000008000000}" name="Student Verdict"/>
    <tableColumn id="9" xr3:uid="{00000000-0010-0000-0200-000009000000}" name="Student Modification / Verification"/>
  </tableColumns>
  <tableStyleInfo name="AI Promp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xecutionTable" displayName="ExecutionTable" ref="A5:L65">
  <tableColumns count="12">
    <tableColumn id="1" xr3:uid="{00000000-0010-0000-0300-000001000000}" name="ID"/>
    <tableColumn id="2" xr3:uid="{00000000-0010-0000-0300-000002000000}" name="IA"/>
    <tableColumn id="3" xr3:uid="{00000000-0010-0000-0300-000003000000}" name="Checklist Item"/>
    <tableColumn id="4" xr3:uid="{00000000-0010-0000-0300-000004000000}" name="Screen 1 Status"/>
    <tableColumn id="5" xr3:uid="{00000000-0010-0000-0300-000005000000}" name="Screen 1 Notes"/>
    <tableColumn id="6" xr3:uid="{00000000-0010-0000-0300-000006000000}" name="Screen 1 Screenshot Ref"/>
    <tableColumn id="7" xr3:uid="{00000000-0010-0000-0300-000007000000}" name="Screen 2 Status"/>
    <tableColumn id="8" xr3:uid="{00000000-0010-0000-0300-000008000000}" name="Screen 2 Notes"/>
    <tableColumn id="9" xr3:uid="{00000000-0010-0000-0300-000009000000}" name="Screen 2 Screenshot Ref"/>
    <tableColumn id="10" xr3:uid="{00000000-0010-0000-0300-00000A000000}" name="Screen 3 Status"/>
    <tableColumn id="11" xr3:uid="{00000000-0010-0000-0300-00000B000000}" name="Screen 3 Notes"/>
    <tableColumn id="12" xr3:uid="{00000000-0010-0000-0300-00000C000000}" name="Screen 3 Screenshot Ref"/>
  </tableColumns>
  <tableStyleInfo name="Execution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UserSessionTable" displayName="UserSessionTable" ref="A5:L11">
  <tableColumns count="12">
    <tableColumn id="1" xr3:uid="{00000000-0010-0000-0400-000001000000}" name="Session ID"/>
    <tableColumn id="2" xr3:uid="{00000000-0010-0000-0400-000002000000}" name="Participant Alias"/>
    <tableColumn id="3" xr3:uid="{00000000-0010-0000-0400-000003000000}" name="Target Profile"/>
    <tableColumn id="4" xr3:uid="{00000000-0010-0000-0400-000004000000}" name="Masked Contact"/>
    <tableColumn id="5" xr3:uid="{00000000-0010-0000-0400-000005000000}" name="Consent"/>
    <tableColumn id="6" xr3:uid="{00000000-0010-0000-0400-000006000000}" name="Recording Consent"/>
    <tableColumn id="7" xr3:uid="{00000000-0010-0000-0400-000007000000}" name="Task Success"/>
    <tableColumn id="8" xr3:uid="{00000000-0010-0000-0400-000008000000}" name="Time (sec)"/>
    <tableColumn id="9" xr3:uid="{00000000-0010-0000-0400-000009000000}" name="Errors"/>
    <tableColumn id="10" xr3:uid="{00000000-0010-0000-0400-00000A000000}" name="Hesitations"/>
    <tableColumn id="11" xr3:uid="{00000000-0010-0000-0400-00000B000000}" name="Assistance Count"/>
    <tableColumn id="12" xr3:uid="{00000000-0010-0000-0400-00000C000000}" name="Raw Notes / Recording Ref"/>
  </tableColumns>
  <tableStyleInfo name="User Testing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mpatibilityMatrixTable" displayName="CompatibilityMatrixTable" ref="A5:M20">
  <tableColumns count="13">
    <tableColumn id="1" xr3:uid="{00000000-0010-0000-0500-000001000000}" name="Cell ID"/>
    <tableColumn id="2" xr3:uid="{00000000-0010-0000-0500-000002000000}" name="Screen"/>
    <tableColumn id="3" xr3:uid="{00000000-0010-0000-0500-000003000000}" name="Operating System"/>
    <tableColumn id="4" xr3:uid="{00000000-0010-0000-0500-000004000000}" name="Browser"/>
    <tableColumn id="5" xr3:uid="{00000000-0010-0000-0500-000005000000}" name="Device Class"/>
    <tableColumn id="6" xr3:uid="{00000000-0010-0000-0500-000006000000}" name="Specific Device / OS Version"/>
    <tableColumn id="7" xr3:uid="{00000000-0010-0000-0500-000007000000}" name="Viewport / Resolution"/>
    <tableColumn id="8" xr3:uid="{00000000-0010-0000-0500-000008000000}" name="Result"/>
    <tableColumn id="9" xr3:uid="{00000000-0010-0000-0500-000009000000}" name="Screenshot Ref"/>
    <tableColumn id="10" xr3:uid="{00000000-0010-0000-0500-00000A000000}" name="Notes / Defect"/>
    <tableColumn id="11" xr3:uid="{00000000-0010-0000-0500-00000B000000}" name="Test Date"/>
    <tableColumn id="12" xr3:uid="{00000000-0010-0000-0500-00000C000000}" name="Tester"/>
    <tableColumn id="13" xr3:uid="{00000000-0010-0000-0500-00000D000000}" name="Environment Type"/>
  </tableColumns>
  <tableStyleInfo name="Compatibility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UsabilityFindingsTable" displayName="UsabilityFindingsTable" ref="A5:M35">
  <tableColumns count="13">
    <tableColumn id="1" xr3:uid="{00000000-0010-0000-0600-000001000000}" name="Finding ID"/>
    <tableColumn id="2" xr3:uid="{00000000-0010-0000-0600-000002000000}" name="Finding"/>
    <tableColumn id="3" xr3:uid="{00000000-0010-0000-0600-000003000000}" name="Affected Screen(s)"/>
    <tableColumn id="4" xr3:uid="{00000000-0010-0000-0600-000004000000}" name="Participants Affected"/>
    <tableColumn id="5" xr3:uid="{00000000-0010-0000-0600-000005000000}" name="Evidence / Screenshot Ref"/>
    <tableColumn id="6" xr3:uid="{00000000-0010-0000-0600-000006000000}" name="Severity 0-4"/>
    <tableColumn id="7" xr3:uid="{00000000-0010-0000-0600-000007000000}" name="Frequency"/>
    <tableColumn id="8" xr3:uid="{00000000-0010-0000-0600-000008000000}" name="Impact"/>
    <tableColumn id="9" xr3:uid="{00000000-0010-0000-0600-000009000000}" name="Persistence"/>
    <tableColumn id="10" xr3:uid="{00000000-0010-0000-0600-00000A000000}" name="Type"/>
    <tableColumn id="11" xr3:uid="{00000000-0010-0000-0600-00000B000000}" name="Heuristic"/>
    <tableColumn id="12" xr3:uid="{00000000-0010-0000-0600-00000C000000}" name="Recommendation"/>
    <tableColumn id="13" xr3:uid="{00000000-0010-0000-0600-00000D000000}" name="Status"/>
  </tableColumns>
  <tableStyleInfo name="Usability Findings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FindingsLogTable" displayName="FindingsLogTable" ref="A5:O55">
  <tableColumns count="15">
    <tableColumn id="1" xr3:uid="{00000000-0010-0000-0700-000001000000}" name="ID"/>
    <tableColumn id="2" xr3:uid="{00000000-0010-0000-0700-000002000000}" name="Scenario / Screen"/>
    <tableColumn id="3" xr3:uid="{00000000-0010-0000-0700-000003000000}" name="Type"/>
    <tableColumn id="4" xr3:uid="{00000000-0010-0000-0700-000004000000}" name="Description"/>
    <tableColumn id="5" xr3:uid="{00000000-0010-0000-0700-000005000000}" name="Steps / Heuristic"/>
    <tableColumn id="6" xr3:uid="{00000000-0010-0000-0700-000006000000}" name="Expected"/>
    <tableColumn id="7" xr3:uid="{00000000-0010-0000-0700-000007000000}" name="Actual"/>
    <tableColumn id="8" xr3:uid="{00000000-0010-0000-0700-000008000000}" name="Severity"/>
    <tableColumn id="9" xr3:uid="{00000000-0010-0000-0700-000009000000}" name="Suggested Fix"/>
    <tableColumn id="10" xr3:uid="{00000000-0010-0000-0700-00000A000000}" name="Screenshot Ref"/>
    <tableColumn id="11" xr3:uid="{00000000-0010-0000-0700-00000B000000}" name="Source Task"/>
    <tableColumn id="12" xr3:uid="{00000000-0010-0000-0700-00000C000000}" name="Form Submission Timestamp"/>
    <tableColumn id="13" xr3:uid="{00000000-0010-0000-0700-00000D000000}" name="Form Confirmation / Response Ref"/>
    <tableColumn id="14" xr3:uid="{00000000-0010-0000-0700-00000E000000}" name="Reporter Email"/>
    <tableColumn id="15" xr3:uid="{00000000-0010-0000-0700-00000F000000}" name="Status"/>
  </tableColumns>
  <tableStyleInfo name="Findings Log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ReportOutlineTable" displayName="ReportOutlineTable" ref="A5:E20">
  <tableColumns count="5">
    <tableColumn id="1" xr3:uid="{00000000-0010-0000-0800-000001000000}" name="Section"/>
    <tableColumn id="2" xr3:uid="{00000000-0010-0000-0800-000002000000}" name="Required Content"/>
    <tableColumn id="3" xr3:uid="{00000000-0010-0000-0800-000003000000}" name="Primary Evidence"/>
    <tableColumn id="4" xr3:uid="{00000000-0010-0000-0800-000004000000}" name="Owner"/>
    <tableColumn id="5" xr3:uid="{00000000-0010-0000-0800-000005000000}" name="Done?"/>
  </tableColumns>
  <tableStyleInfo name="Report Outline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showGridLines="0" workbookViewId="0">
      <selection sqref="A1:J1"/>
    </sheetView>
  </sheetViews>
  <sheetFormatPr defaultColWidth="12.625" defaultRowHeight="15" customHeight="1"/>
  <cols>
    <col min="1" max="1" width="10" customWidth="1"/>
    <col min="2" max="2" width="50.25" customWidth="1"/>
    <col min="3" max="3" width="12.75" customWidth="1"/>
    <col min="4" max="10" width="18" customWidth="1"/>
    <col min="11" max="26" width="8.625" customWidth="1"/>
  </cols>
  <sheetData>
    <row r="1" spans="1:10" ht="33.75" customHeight="1">
      <c r="A1" s="28" t="s">
        <v>0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31.5" customHeight="1">
      <c r="A2" s="29" t="s">
        <v>1</v>
      </c>
      <c r="B2" s="27"/>
      <c r="C2" s="27"/>
      <c r="D2" s="27"/>
      <c r="E2" s="27"/>
      <c r="F2" s="27"/>
      <c r="G2" s="27"/>
      <c r="H2" s="27"/>
      <c r="I2" s="27"/>
      <c r="J2" s="27"/>
    </row>
    <row r="4" spans="1:10" ht="36" customHeight="1">
      <c r="A4" s="30" t="s">
        <v>2</v>
      </c>
      <c r="B4" s="27"/>
      <c r="C4" s="27"/>
      <c r="D4" s="27"/>
      <c r="E4" s="27"/>
      <c r="F4" s="27"/>
      <c r="G4" s="27"/>
      <c r="H4" s="27"/>
      <c r="I4" s="27"/>
      <c r="J4" s="27"/>
    </row>
    <row r="6" spans="1:10" ht="30" customHeight="1">
      <c r="A6" s="1" t="s">
        <v>3</v>
      </c>
      <c r="B6" s="1" t="s">
        <v>4</v>
      </c>
      <c r="D6" s="31" t="s">
        <v>7</v>
      </c>
      <c r="E6" s="27"/>
      <c r="F6" s="27"/>
      <c r="G6" s="27"/>
      <c r="H6" s="27"/>
      <c r="I6" s="27"/>
      <c r="J6" s="27"/>
    </row>
    <row r="7" spans="1:10" ht="30" customHeight="1">
      <c r="A7" s="2" t="s">
        <v>8</v>
      </c>
      <c r="B7" s="2" t="s">
        <v>11</v>
      </c>
      <c r="D7" s="1" t="s">
        <v>14</v>
      </c>
      <c r="E7" s="1" t="s">
        <v>15</v>
      </c>
      <c r="F7" s="1" t="s">
        <v>17</v>
      </c>
      <c r="G7" s="1" t="s">
        <v>18</v>
      </c>
      <c r="H7" s="1" t="s">
        <v>19</v>
      </c>
      <c r="I7" s="1" t="s">
        <v>21</v>
      </c>
      <c r="J7" s="1" t="s">
        <v>24</v>
      </c>
    </row>
    <row r="8" spans="1:10" ht="31.5" customHeight="1">
      <c r="A8" s="3" t="s">
        <v>25</v>
      </c>
      <c r="B8" s="3" t="s">
        <v>28</v>
      </c>
      <c r="D8" s="4">
        <f>COUNTA('[1]Master Checklist'!C6:C61)+COUNTA(#REF!)</f>
        <v>57</v>
      </c>
      <c r="E8" s="4">
        <f>COUNTA(#REF!)</f>
        <v>1</v>
      </c>
      <c r="F8" s="4">
        <f>COUNTIF(Execution!D6:D65,"Failed")+COUNTIF(Execution!G6:G65,"Failed")+COUNTIF(Execution!J6:J65,"Failed")</f>
        <v>0</v>
      </c>
      <c r="G8" s="4">
        <f>COUNTBLANK(Execution!D6:D61)+COUNTBLANK(Execution!G6:G61)+COUNTBLANK(Execution!J6:J61)+COUNTIFS(Execution!C62:C65,"&lt;&gt;",Execution!D62:D65,"")+COUNTIFS(Execution!C62:C65,"&lt;&gt;",Execution!G62:G65,"")+COUNTIFS(Execution!C62:C65,"&lt;&gt;",Execution!J62:J65,"")</f>
        <v>180</v>
      </c>
      <c r="H8" s="5" t="str">
        <f>IF(COUNTA(SUS!B7:K11)=0,"",AVERAGE(SUS!M7:M11))</f>
        <v/>
      </c>
      <c r="I8" s="4">
        <f>COUNTIF(Compatibility!H6:H20,"Passed")+COUNTIF(Compatibility!H6:H20,"Failed")</f>
        <v>0</v>
      </c>
      <c r="J8" s="4">
        <f>COUNTA('Findings Log'!A6:A55)</f>
        <v>0</v>
      </c>
    </row>
    <row r="9" spans="1:10" ht="24">
      <c r="A9" s="3" t="s">
        <v>93</v>
      </c>
      <c r="B9" s="3" t="s">
        <v>94</v>
      </c>
    </row>
    <row r="10" spans="1:10" ht="36">
      <c r="A10" s="3" t="s">
        <v>95</v>
      </c>
      <c r="B10" s="3" t="s">
        <v>98</v>
      </c>
      <c r="D10" s="32" t="s">
        <v>99</v>
      </c>
      <c r="E10" s="27"/>
      <c r="F10" s="27"/>
      <c r="G10" s="27"/>
      <c r="H10" s="27"/>
      <c r="I10" s="27"/>
      <c r="J10" s="27"/>
    </row>
    <row r="11" spans="1:10" ht="24">
      <c r="A11" s="3" t="s">
        <v>103</v>
      </c>
      <c r="B11" s="3" t="s">
        <v>105</v>
      </c>
      <c r="D11" s="33" t="s">
        <v>107</v>
      </c>
      <c r="E11" s="34"/>
      <c r="F11" s="34"/>
      <c r="G11" s="34"/>
      <c r="H11" s="34"/>
      <c r="I11" s="34"/>
      <c r="J11" s="34"/>
    </row>
    <row r="12" spans="1:10" ht="24">
      <c r="A12" s="3" t="s">
        <v>110</v>
      </c>
      <c r="B12" s="3" t="s">
        <v>112</v>
      </c>
      <c r="D12" s="35" t="s">
        <v>113</v>
      </c>
      <c r="E12" s="36"/>
      <c r="F12" s="36"/>
      <c r="G12" s="36"/>
      <c r="H12" s="36"/>
      <c r="I12" s="36"/>
      <c r="J12" s="36"/>
    </row>
    <row r="13" spans="1:10" ht="24">
      <c r="A13" s="6" t="s">
        <v>119</v>
      </c>
      <c r="B13" s="6" t="s">
        <v>121</v>
      </c>
      <c r="D13" s="24" t="s">
        <v>124</v>
      </c>
      <c r="E13" s="25"/>
      <c r="F13" s="25"/>
      <c r="G13" s="25"/>
      <c r="H13" s="25"/>
      <c r="I13" s="25"/>
      <c r="J13" s="25"/>
    </row>
    <row r="16" spans="1:10">
      <c r="A16" s="26" t="s">
        <v>127</v>
      </c>
      <c r="B16" s="27"/>
      <c r="C16" s="27"/>
      <c r="D16" s="27"/>
      <c r="E16" s="27"/>
      <c r="F16" s="27"/>
      <c r="G16" s="27"/>
      <c r="H16" s="27"/>
      <c r="I16" s="27"/>
      <c r="J16" s="27"/>
    </row>
    <row r="17" spans="1:9" ht="30" customHeight="1">
      <c r="A17" s="1" t="s">
        <v>129</v>
      </c>
      <c r="B17" s="1" t="s">
        <v>130</v>
      </c>
      <c r="C17" s="1" t="s">
        <v>133</v>
      </c>
      <c r="D17" s="1" t="s">
        <v>134</v>
      </c>
      <c r="E17" s="1" t="s">
        <v>136</v>
      </c>
      <c r="F17" s="1" t="s">
        <v>137</v>
      </c>
      <c r="G17" s="1" t="s">
        <v>139</v>
      </c>
      <c r="H17" s="1" t="s">
        <v>141</v>
      </c>
      <c r="I17" s="1" t="s">
        <v>143</v>
      </c>
    </row>
    <row r="18" spans="1:9" ht="36">
      <c r="A18" s="2" t="s">
        <v>145</v>
      </c>
      <c r="B18" s="2" t="s">
        <v>147</v>
      </c>
      <c r="C18" s="2" t="s">
        <v>148</v>
      </c>
      <c r="D18" s="2" t="s">
        <v>150</v>
      </c>
      <c r="E18" s="2" t="s">
        <v>151</v>
      </c>
      <c r="F18" s="2" t="s">
        <v>153</v>
      </c>
      <c r="G18" s="2" t="s">
        <v>154</v>
      </c>
      <c r="H18" s="2" t="s">
        <v>155</v>
      </c>
      <c r="I18" s="2" t="s">
        <v>157</v>
      </c>
    </row>
    <row r="19" spans="1:9" ht="36">
      <c r="A19" s="3" t="s">
        <v>145</v>
      </c>
      <c r="B19" s="3" t="s">
        <v>159</v>
      </c>
      <c r="C19" s="3" t="s">
        <v>148</v>
      </c>
      <c r="D19" s="3" t="s">
        <v>161</v>
      </c>
      <c r="E19" s="3" t="s">
        <v>162</v>
      </c>
      <c r="F19" s="3" t="s">
        <v>163</v>
      </c>
      <c r="G19" s="3" t="s">
        <v>165</v>
      </c>
      <c r="H19" s="3" t="s">
        <v>166</v>
      </c>
      <c r="I19" s="3" t="s">
        <v>168</v>
      </c>
    </row>
    <row r="20" spans="1:9" ht="24">
      <c r="A20" s="3" t="s">
        <v>169</v>
      </c>
      <c r="B20" s="3" t="s">
        <v>171</v>
      </c>
      <c r="C20" s="3" t="s">
        <v>148</v>
      </c>
      <c r="D20" s="3" t="s">
        <v>172</v>
      </c>
      <c r="E20" s="3" t="s">
        <v>173</v>
      </c>
      <c r="F20" s="3" t="s">
        <v>175</v>
      </c>
      <c r="G20" s="3" t="s">
        <v>176</v>
      </c>
      <c r="H20" s="3" t="s">
        <v>178</v>
      </c>
      <c r="I20" s="3" t="s">
        <v>168</v>
      </c>
    </row>
    <row r="21" spans="1:9" ht="15.75" customHeight="1">
      <c r="A21" s="3" t="s">
        <v>180</v>
      </c>
      <c r="B21" s="3" t="s">
        <v>181</v>
      </c>
      <c r="C21" s="3" t="s">
        <v>183</v>
      </c>
      <c r="D21" s="3" t="s">
        <v>184</v>
      </c>
      <c r="E21" s="3" t="s">
        <v>186</v>
      </c>
      <c r="F21" s="3" t="s">
        <v>187</v>
      </c>
      <c r="G21" s="3" t="s">
        <v>188</v>
      </c>
      <c r="H21" s="3" t="s">
        <v>189</v>
      </c>
      <c r="I21" s="3" t="s">
        <v>168</v>
      </c>
    </row>
    <row r="22" spans="1:9" ht="15.75" customHeight="1">
      <c r="A22" s="6" t="s">
        <v>190</v>
      </c>
      <c r="B22" s="6" t="s">
        <v>191</v>
      </c>
      <c r="C22" s="6" t="s">
        <v>192</v>
      </c>
      <c r="D22" s="6" t="s">
        <v>193</v>
      </c>
      <c r="E22" s="6" t="s">
        <v>194</v>
      </c>
      <c r="F22" s="6" t="s">
        <v>195</v>
      </c>
      <c r="G22" s="6" t="s">
        <v>196</v>
      </c>
      <c r="H22" s="6" t="s">
        <v>197</v>
      </c>
      <c r="I22" s="6" t="s">
        <v>168</v>
      </c>
    </row>
    <row r="23" spans="1:9" ht="15.75" customHeight="1"/>
    <row r="24" spans="1:9" ht="15.75" customHeight="1"/>
    <row r="25" spans="1:9" ht="15.75" customHeight="1"/>
    <row r="26" spans="1:9" ht="15.75" customHeight="1"/>
    <row r="27" spans="1:9" ht="15.75" customHeight="1"/>
    <row r="28" spans="1:9" ht="15.75" customHeight="1"/>
    <row r="29" spans="1:9" ht="15.75" customHeight="1"/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D13:J13"/>
    <mergeCell ref="A16:J16"/>
    <mergeCell ref="A1:J1"/>
    <mergeCell ref="A2:J2"/>
    <mergeCell ref="A4:J4"/>
    <mergeCell ref="D6:J6"/>
    <mergeCell ref="D10:J10"/>
    <mergeCell ref="D11:J11"/>
    <mergeCell ref="D12:J12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showGridLines="0" workbookViewId="0">
      <selection sqref="A1:E1"/>
    </sheetView>
  </sheetViews>
  <sheetFormatPr defaultColWidth="12.625" defaultRowHeight="15" customHeight="1"/>
  <cols>
    <col min="1" max="1" width="12" customWidth="1"/>
    <col min="2" max="2" width="50" customWidth="1"/>
    <col min="3" max="3" width="40" customWidth="1"/>
    <col min="4" max="4" width="65" customWidth="1"/>
    <col min="5" max="5" width="42" customWidth="1"/>
    <col min="6" max="26" width="8.625" customWidth="1"/>
  </cols>
  <sheetData>
    <row r="1" spans="1:5" ht="33.75" customHeight="1">
      <c r="A1" s="28" t="s">
        <v>6</v>
      </c>
      <c r="B1" s="27"/>
      <c r="C1" s="27"/>
      <c r="D1" s="27"/>
      <c r="E1" s="27"/>
    </row>
    <row r="2" spans="1:5" ht="31.5" customHeight="1">
      <c r="A2" s="29" t="s">
        <v>9</v>
      </c>
      <c r="B2" s="27"/>
      <c r="C2" s="27"/>
      <c r="D2" s="27"/>
      <c r="E2" s="27"/>
    </row>
    <row r="5" spans="1:5" ht="30" customHeight="1">
      <c r="A5" s="1" t="s">
        <v>13</v>
      </c>
      <c r="B5" s="1" t="s">
        <v>23</v>
      </c>
      <c r="C5" s="1" t="s">
        <v>27</v>
      </c>
      <c r="D5" s="1" t="s">
        <v>30</v>
      </c>
      <c r="E5" s="1" t="s">
        <v>33</v>
      </c>
    </row>
    <row r="6" spans="1:5" ht="24">
      <c r="A6" s="2" t="s">
        <v>35</v>
      </c>
      <c r="B6" s="2" t="s">
        <v>38</v>
      </c>
      <c r="C6" s="2" t="s">
        <v>40</v>
      </c>
      <c r="D6" s="2" t="s">
        <v>42</v>
      </c>
      <c r="E6" s="2" t="s">
        <v>43</v>
      </c>
    </row>
    <row r="7" spans="1:5" ht="24">
      <c r="A7" s="3" t="s">
        <v>45</v>
      </c>
      <c r="B7" s="3" t="s">
        <v>47</v>
      </c>
      <c r="C7" s="3" t="s">
        <v>49</v>
      </c>
      <c r="D7" s="3" t="s">
        <v>51</v>
      </c>
      <c r="E7" s="3" t="s">
        <v>53</v>
      </c>
    </row>
    <row r="8" spans="1:5" ht="24">
      <c r="A8" s="3" t="s">
        <v>55</v>
      </c>
      <c r="B8" s="3" t="s">
        <v>57</v>
      </c>
      <c r="C8" s="3" t="s">
        <v>59</v>
      </c>
      <c r="D8" s="3" t="s">
        <v>61</v>
      </c>
      <c r="E8" s="3" t="s">
        <v>62</v>
      </c>
    </row>
    <row r="9" spans="1:5" ht="24">
      <c r="A9" s="3" t="s">
        <v>64</v>
      </c>
      <c r="B9" s="3" t="s">
        <v>67</v>
      </c>
      <c r="C9" s="3" t="s">
        <v>68</v>
      </c>
      <c r="D9" s="3" t="s">
        <v>69</v>
      </c>
      <c r="E9" s="3" t="s">
        <v>70</v>
      </c>
    </row>
    <row r="10" spans="1:5" ht="24">
      <c r="A10" s="3" t="s">
        <v>71</v>
      </c>
      <c r="B10" s="3" t="s">
        <v>72</v>
      </c>
      <c r="C10" s="3" t="s">
        <v>74</v>
      </c>
      <c r="D10" s="3" t="s">
        <v>76</v>
      </c>
      <c r="E10" s="3" t="s">
        <v>79</v>
      </c>
    </row>
    <row r="11" spans="1:5" ht="14.25">
      <c r="A11" s="3" t="s">
        <v>80</v>
      </c>
      <c r="B11" s="3" t="s">
        <v>81</v>
      </c>
      <c r="C11" s="3" t="s">
        <v>82</v>
      </c>
      <c r="D11" s="3" t="s">
        <v>83</v>
      </c>
      <c r="E11" s="3" t="s">
        <v>85</v>
      </c>
    </row>
    <row r="12" spans="1:5" ht="14.25">
      <c r="A12" s="3" t="s">
        <v>88</v>
      </c>
      <c r="B12" s="3" t="s">
        <v>90</v>
      </c>
      <c r="C12" s="3" t="s">
        <v>91</v>
      </c>
      <c r="D12" s="3" t="s">
        <v>92</v>
      </c>
      <c r="E12" s="3" t="s">
        <v>85</v>
      </c>
    </row>
    <row r="13" spans="1:5" ht="14.25">
      <c r="A13" s="3" t="s">
        <v>97</v>
      </c>
      <c r="B13" s="3" t="s">
        <v>101</v>
      </c>
      <c r="C13" s="3" t="s">
        <v>104</v>
      </c>
      <c r="D13" s="3" t="s">
        <v>108</v>
      </c>
      <c r="E13" s="3" t="s">
        <v>109</v>
      </c>
    </row>
    <row r="14" spans="1:5" ht="14.25">
      <c r="A14" s="3" t="s">
        <v>111</v>
      </c>
      <c r="B14" s="3" t="s">
        <v>114</v>
      </c>
      <c r="C14" s="3" t="s">
        <v>116</v>
      </c>
      <c r="D14" s="3" t="s">
        <v>118</v>
      </c>
      <c r="E14" s="3" t="s">
        <v>122</v>
      </c>
    </row>
    <row r="15" spans="1:5" ht="24">
      <c r="A15" s="3" t="s">
        <v>125</v>
      </c>
      <c r="B15" s="3" t="s">
        <v>126</v>
      </c>
      <c r="C15" s="3" t="s">
        <v>128</v>
      </c>
      <c r="D15" s="3" t="s">
        <v>132</v>
      </c>
      <c r="E15" s="3" t="s">
        <v>135</v>
      </c>
    </row>
    <row r="16" spans="1:5" ht="14.25">
      <c r="A16" s="3" t="s">
        <v>140</v>
      </c>
      <c r="B16" s="3" t="s">
        <v>144</v>
      </c>
      <c r="C16" s="3" t="s">
        <v>149</v>
      </c>
      <c r="D16" s="3" t="s">
        <v>152</v>
      </c>
      <c r="E16" s="3" t="s">
        <v>156</v>
      </c>
    </row>
    <row r="17" spans="1:5" ht="14.25">
      <c r="A17" s="3" t="s">
        <v>158</v>
      </c>
      <c r="B17" s="3" t="s">
        <v>160</v>
      </c>
      <c r="C17" s="3" t="s">
        <v>164</v>
      </c>
      <c r="D17" s="3" t="s">
        <v>167</v>
      </c>
      <c r="E17" s="3" t="s">
        <v>170</v>
      </c>
    </row>
    <row r="18" spans="1:5" ht="24">
      <c r="A18" s="6" t="s">
        <v>174</v>
      </c>
      <c r="B18" s="6" t="s">
        <v>177</v>
      </c>
      <c r="C18" s="6" t="s">
        <v>179</v>
      </c>
      <c r="D18" s="6" t="s">
        <v>182</v>
      </c>
      <c r="E18" s="6" t="s">
        <v>185</v>
      </c>
    </row>
    <row r="21" spans="1:5" ht="15.75" customHeight="1"/>
    <row r="22" spans="1:5" ht="15.75" customHeight="1"/>
    <row r="23" spans="1:5" ht="15.75" customHeight="1"/>
    <row r="24" spans="1:5" ht="15.75" customHeight="1"/>
    <row r="25" spans="1:5" ht="15.75" customHeight="1"/>
    <row r="26" spans="1:5" ht="15.75" customHeight="1"/>
    <row r="27" spans="1:5" ht="15.75" customHeight="1"/>
    <row r="28" spans="1:5" ht="15.75" customHeight="1"/>
    <row r="29" spans="1:5" ht="15.75" customHeight="1"/>
    <row r="30" spans="1:5" ht="15.75" customHeight="1"/>
    <row r="31" spans="1:5" ht="15.75" customHeight="1"/>
    <row r="32" spans="1: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E1"/>
    <mergeCell ref="A2:E2"/>
  </mergeCells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000"/>
  <sheetViews>
    <sheetView showGridLines="0" workbookViewId="0"/>
  </sheetViews>
  <sheetFormatPr defaultColWidth="12.625" defaultRowHeight="15" customHeight="1"/>
  <cols>
    <col min="1" max="1" width="14" customWidth="1"/>
    <col min="2" max="2" width="30" customWidth="1"/>
    <col min="3" max="3" width="26" customWidth="1"/>
    <col min="4" max="4" width="86" customWidth="1"/>
    <col min="5" max="5" width="18" customWidth="1"/>
    <col min="6" max="6" width="22" customWidth="1"/>
    <col min="7" max="7" width="36" customWidth="1"/>
    <col min="8" max="8" width="16" customWidth="1"/>
    <col min="9" max="9" width="58" customWidth="1"/>
    <col min="10" max="26" width="8.625" customWidth="1"/>
  </cols>
  <sheetData>
    <row r="1" spans="1:9" ht="33.75" customHeight="1">
      <c r="A1" s="28" t="s">
        <v>5</v>
      </c>
      <c r="B1" s="27"/>
      <c r="C1" s="27"/>
      <c r="D1" s="27"/>
      <c r="E1" s="27"/>
      <c r="F1" s="27"/>
      <c r="G1" s="27"/>
      <c r="H1" s="27"/>
      <c r="I1" s="27"/>
    </row>
    <row r="2" spans="1:9" ht="31.5" customHeight="1">
      <c r="A2" s="29" t="s">
        <v>10</v>
      </c>
      <c r="B2" s="27"/>
      <c r="C2" s="27"/>
      <c r="D2" s="27"/>
      <c r="E2" s="27"/>
      <c r="F2" s="27"/>
      <c r="G2" s="27"/>
      <c r="H2" s="27"/>
      <c r="I2" s="27"/>
    </row>
    <row r="4" spans="1:9">
      <c r="A4" s="38" t="s">
        <v>12</v>
      </c>
      <c r="B4" s="27"/>
      <c r="C4" s="27"/>
      <c r="D4" s="27"/>
      <c r="E4" s="27"/>
      <c r="F4" s="27"/>
      <c r="G4" s="27"/>
      <c r="H4" s="27"/>
      <c r="I4" s="27"/>
    </row>
    <row r="5" spans="1:9" ht="30" customHeight="1">
      <c r="A5" s="1" t="s">
        <v>16</v>
      </c>
      <c r="B5" s="1" t="s">
        <v>22</v>
      </c>
      <c r="C5" s="1" t="s">
        <v>26</v>
      </c>
      <c r="D5" s="1" t="s">
        <v>29</v>
      </c>
      <c r="E5" s="1" t="s">
        <v>31</v>
      </c>
      <c r="F5" s="1" t="s">
        <v>34</v>
      </c>
      <c r="G5" s="1" t="s">
        <v>36</v>
      </c>
      <c r="H5" s="1" t="s">
        <v>37</v>
      </c>
      <c r="I5" s="1" t="s">
        <v>39</v>
      </c>
    </row>
    <row r="6" spans="1:9" ht="24">
      <c r="A6" s="2" t="s">
        <v>41</v>
      </c>
      <c r="B6" s="2" t="s">
        <v>44</v>
      </c>
      <c r="C6" s="2" t="s">
        <v>46</v>
      </c>
      <c r="D6" s="2" t="s">
        <v>48</v>
      </c>
      <c r="E6" s="2" t="s">
        <v>50</v>
      </c>
      <c r="F6" s="2" t="s">
        <v>52</v>
      </c>
      <c r="G6" s="2" t="s">
        <v>54</v>
      </c>
      <c r="H6" s="2" t="s">
        <v>56</v>
      </c>
      <c r="I6" s="2" t="s">
        <v>58</v>
      </c>
    </row>
    <row r="7" spans="1:9" ht="36">
      <c r="A7" s="3" t="s">
        <v>60</v>
      </c>
      <c r="B7" s="3" t="s">
        <v>63</v>
      </c>
      <c r="C7" s="3" t="s">
        <v>65</v>
      </c>
      <c r="D7" s="3" t="s">
        <v>66</v>
      </c>
      <c r="E7" s="3" t="s">
        <v>50</v>
      </c>
      <c r="F7" s="3"/>
      <c r="G7" s="3"/>
      <c r="H7" s="3"/>
      <c r="I7" s="3"/>
    </row>
    <row r="8" spans="1:9" ht="36">
      <c r="A8" s="3" t="s">
        <v>73</v>
      </c>
      <c r="B8" s="3" t="s">
        <v>75</v>
      </c>
      <c r="C8" s="3" t="s">
        <v>77</v>
      </c>
      <c r="D8" s="3" t="s">
        <v>78</v>
      </c>
      <c r="E8" s="3" t="s">
        <v>50</v>
      </c>
      <c r="F8" s="3"/>
      <c r="G8" s="3"/>
      <c r="H8" s="3"/>
      <c r="I8" s="3"/>
    </row>
    <row r="9" spans="1:9" ht="48">
      <c r="A9" s="3" t="s">
        <v>84</v>
      </c>
      <c r="B9" s="3" t="s">
        <v>86</v>
      </c>
      <c r="C9" s="3" t="s">
        <v>87</v>
      </c>
      <c r="D9" s="3" t="s">
        <v>89</v>
      </c>
      <c r="E9" s="3" t="s">
        <v>50</v>
      </c>
      <c r="F9" s="3"/>
      <c r="G9" s="3"/>
      <c r="H9" s="3"/>
      <c r="I9" s="3"/>
    </row>
    <row r="10" spans="1:9" ht="36">
      <c r="A10" s="3" t="s">
        <v>96</v>
      </c>
      <c r="B10" s="3" t="s">
        <v>100</v>
      </c>
      <c r="C10" s="3" t="s">
        <v>102</v>
      </c>
      <c r="D10" s="3" t="s">
        <v>106</v>
      </c>
      <c r="E10" s="3" t="s">
        <v>50</v>
      </c>
      <c r="F10" s="3"/>
      <c r="G10" s="3"/>
      <c r="H10" s="3"/>
      <c r="I10" s="3"/>
    </row>
    <row r="11" spans="1:9" ht="48">
      <c r="A11" s="6" t="s">
        <v>115</v>
      </c>
      <c r="B11" s="6" t="s">
        <v>117</v>
      </c>
      <c r="C11" s="6" t="s">
        <v>120</v>
      </c>
      <c r="D11" s="6" t="s">
        <v>123</v>
      </c>
      <c r="E11" s="6" t="s">
        <v>50</v>
      </c>
      <c r="F11" s="6"/>
      <c r="G11" s="6"/>
      <c r="H11" s="6"/>
      <c r="I11" s="6"/>
    </row>
    <row r="12" spans="1:9" ht="36">
      <c r="A12" s="7" t="s">
        <v>131</v>
      </c>
      <c r="B12" s="7" t="s">
        <v>63</v>
      </c>
      <c r="C12" s="7" t="s">
        <v>138</v>
      </c>
      <c r="D12" s="6" t="s">
        <v>142</v>
      </c>
      <c r="E12" s="8" t="s">
        <v>146</v>
      </c>
      <c r="H12" s="9"/>
    </row>
    <row r="13" spans="1:9" ht="14.25">
      <c r="B13" s="9"/>
      <c r="H13" s="9"/>
    </row>
    <row r="14" spans="1:9" ht="14.25">
      <c r="B14" s="9"/>
      <c r="H14" s="9"/>
    </row>
    <row r="15" spans="1:9" ht="14.25">
      <c r="B15" s="9"/>
      <c r="H15" s="9"/>
    </row>
    <row r="16" spans="1:9" ht="14.25">
      <c r="B16" s="9"/>
      <c r="H16" s="9"/>
    </row>
    <row r="17" spans="2:8" ht="14.25">
      <c r="B17" s="9"/>
      <c r="H17" s="9"/>
    </row>
    <row r="18" spans="2:8" ht="14.25">
      <c r="B18" s="9"/>
      <c r="H18" s="9"/>
    </row>
    <row r="19" spans="2:8" ht="14.25">
      <c r="B19" s="9"/>
      <c r="H19" s="9"/>
    </row>
    <row r="20" spans="2:8" ht="14.25">
      <c r="B20" s="9"/>
      <c r="H20" s="9"/>
    </row>
    <row r="21" spans="2:8" ht="15.75" customHeight="1">
      <c r="B21" s="9"/>
      <c r="H21" s="9"/>
    </row>
    <row r="22" spans="2:8" ht="15.75" customHeight="1">
      <c r="B22" s="9"/>
      <c r="H22" s="9"/>
    </row>
    <row r="23" spans="2:8" ht="15.75" customHeight="1">
      <c r="B23" s="9"/>
      <c r="H23" s="9"/>
    </row>
    <row r="24" spans="2:8" ht="15.75" customHeight="1">
      <c r="B24" s="9"/>
      <c r="H24" s="9"/>
    </row>
    <row r="25" spans="2:8" ht="15.75" customHeight="1">
      <c r="B25" s="9"/>
      <c r="H25" s="9"/>
    </row>
    <row r="26" spans="2:8" ht="15.75" customHeight="1">
      <c r="B26" s="9"/>
      <c r="H26" s="9"/>
    </row>
    <row r="27" spans="2:8" ht="15.75" customHeight="1">
      <c r="B27" s="9"/>
      <c r="H27" s="9"/>
    </row>
    <row r="28" spans="2:8" ht="15.75" customHeight="1">
      <c r="B28" s="9"/>
      <c r="H28" s="9"/>
    </row>
    <row r="29" spans="2:8" ht="15.75" customHeight="1">
      <c r="B29" s="9"/>
      <c r="H29" s="9"/>
    </row>
    <row r="30" spans="2:8" ht="15.75" customHeight="1">
      <c r="B30" s="9"/>
      <c r="H30" s="9"/>
    </row>
    <row r="31" spans="2:8" ht="15.75" customHeight="1"/>
    <row r="32" spans="2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I1"/>
    <mergeCell ref="A2:I2"/>
    <mergeCell ref="A4:I4"/>
  </mergeCells>
  <dataValidations count="2">
    <dataValidation type="list" allowBlank="1" sqref="B6:B30" xr:uid="{00000000-0002-0000-0300-000000000000}">
      <formula1>"Used,Template - run only if needed,Template - run only after human execution,Template - run only with de-identified data,Template - run after compatibility tests,Template - run after all logs are complete"</formula1>
    </dataValidation>
    <dataValidation type="list" allowBlank="1" sqref="H6:H30" xr:uid="{00000000-0002-0000-0300-000001000000}">
      <formula1>"VALID,INVALID,INCOMPLETE"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1000"/>
  <sheetViews>
    <sheetView showGridLines="0" workbookViewId="0"/>
  </sheetViews>
  <sheetFormatPr defaultColWidth="12.625" defaultRowHeight="15" customHeight="1"/>
  <cols>
    <col min="1" max="1" width="12" customWidth="1"/>
    <col min="2" max="2" width="20" customWidth="1"/>
    <col min="3" max="3" width="58" customWidth="1"/>
    <col min="4" max="4" width="16" customWidth="1"/>
    <col min="5" max="5" width="44" customWidth="1"/>
    <col min="6" max="6" width="28" customWidth="1"/>
    <col min="7" max="7" width="16" customWidth="1"/>
    <col min="8" max="8" width="44" customWidth="1"/>
    <col min="9" max="9" width="28" customWidth="1"/>
    <col min="10" max="10" width="16" customWidth="1"/>
    <col min="11" max="11" width="44" customWidth="1"/>
    <col min="12" max="12" width="28" customWidth="1"/>
    <col min="13" max="26" width="8.625" customWidth="1"/>
  </cols>
  <sheetData>
    <row r="1" spans="1:12" ht="33.75" customHeight="1">
      <c r="A1" s="28" t="s">
        <v>198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31.5" customHeight="1">
      <c r="A2" s="29" t="s">
        <v>199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>
      <c r="A3" s="10" t="s">
        <v>200</v>
      </c>
      <c r="B3" s="10" t="s">
        <v>201</v>
      </c>
      <c r="C3" s="10" t="s">
        <v>202</v>
      </c>
      <c r="D3" s="10"/>
      <c r="E3" s="10"/>
      <c r="F3" s="10"/>
      <c r="G3" s="10" t="s">
        <v>203</v>
      </c>
      <c r="H3" s="10"/>
      <c r="I3" s="10"/>
      <c r="J3" s="10"/>
      <c r="K3" s="10"/>
      <c r="L3" s="10"/>
    </row>
    <row r="4" spans="1:12" ht="30">
      <c r="A4" s="10" t="s">
        <v>204</v>
      </c>
      <c r="B4" s="10" t="s">
        <v>206</v>
      </c>
      <c r="C4" s="10" t="s">
        <v>206</v>
      </c>
      <c r="D4" s="10"/>
      <c r="E4" s="10"/>
      <c r="F4" s="10"/>
      <c r="G4" s="10" t="s">
        <v>206</v>
      </c>
      <c r="H4" s="10"/>
      <c r="I4" s="10"/>
      <c r="J4" s="10"/>
      <c r="K4" s="10"/>
      <c r="L4" s="10"/>
    </row>
    <row r="5" spans="1:12" ht="30" customHeight="1">
      <c r="A5" s="1" t="s">
        <v>20</v>
      </c>
      <c r="B5" s="1" t="s">
        <v>212</v>
      </c>
      <c r="C5" s="1" t="s">
        <v>32</v>
      </c>
      <c r="D5" s="1" t="s">
        <v>216</v>
      </c>
      <c r="E5" s="1" t="s">
        <v>217</v>
      </c>
      <c r="F5" s="1" t="s">
        <v>219</v>
      </c>
      <c r="G5" s="1" t="s">
        <v>221</v>
      </c>
      <c r="H5" s="1" t="s">
        <v>224</v>
      </c>
      <c r="I5" s="1" t="s">
        <v>226</v>
      </c>
      <c r="J5" s="1" t="s">
        <v>228</v>
      </c>
      <c r="K5" s="1" t="s">
        <v>230</v>
      </c>
      <c r="L5" s="1" t="s">
        <v>231</v>
      </c>
    </row>
    <row r="6" spans="1:12" ht="24">
      <c r="A6" s="2" t="str">
        <f>IF('[1]Master Checklist'!C6="","",'[1]Master Checklist'!A6)</f>
        <v>IA01-01</v>
      </c>
      <c r="B6" s="2" t="str">
        <f>IF('[1]Master Checklist'!C6="","",'[1]Master Checklist'!B6)</f>
        <v>IA-01 General UI</v>
      </c>
      <c r="C6" s="2" t="str">
        <f>IF('[1]Master Checklist'!C6="","",'[1]Master Checklist'!C6)</f>
        <v>Layout follows a consistent grid; labels, fields, cards, tables, and actions are aligned with no overlap or clipping.</v>
      </c>
      <c r="D6" s="2"/>
      <c r="E6" s="2"/>
      <c r="F6" s="2"/>
      <c r="G6" s="2"/>
      <c r="H6" s="2"/>
      <c r="I6" s="2"/>
      <c r="J6" s="2"/>
      <c r="K6" s="2"/>
      <c r="L6" s="2"/>
    </row>
    <row r="7" spans="1:12" ht="24">
      <c r="A7" s="3" t="str">
        <f>IF('[1]Master Checklist'!C7="","",'[1]Master Checklist'!A7)</f>
        <v>IA01-02</v>
      </c>
      <c r="B7" s="3" t="str">
        <f>IF('[1]Master Checklist'!C7="","",'[1]Master Checklist'!B7)</f>
        <v>IA-01 General UI</v>
      </c>
      <c r="C7" s="3" t="str">
        <f>IF('[1]Master Checklist'!C7="","",'[1]Master Checklist'!C7)</f>
        <v>The page remains usable on desktop, tablet, and phone without unintended horizontal scrolling or hidden essential actions.</v>
      </c>
      <c r="D7" s="3"/>
      <c r="E7" s="3"/>
      <c r="F7" s="3"/>
      <c r="G7" s="3"/>
      <c r="H7" s="3"/>
      <c r="I7" s="3"/>
      <c r="J7" s="3"/>
      <c r="K7" s="3"/>
      <c r="L7" s="3"/>
    </row>
    <row r="8" spans="1:12" ht="24">
      <c r="A8" s="3" t="str">
        <f>IF('[1]Master Checklist'!C8="","",'[1]Master Checklist'!A8)</f>
        <v>IA01-03</v>
      </c>
      <c r="B8" s="3" t="str">
        <f>IF('[1]Master Checklist'!C8="","",'[1]Master Checklist'!B8)</f>
        <v>IA-01 General UI</v>
      </c>
      <c r="C8" s="3" t="str">
        <f>IF('[1]Master Checklist'!C8="","",'[1]Master Checklist'!C8)</f>
        <v>Typography has a clear hierarchy and consistent fonts, sizes, capitalization, line spacing, and wrapping.</v>
      </c>
      <c r="D8" s="3"/>
      <c r="E8" s="3"/>
      <c r="F8" s="3"/>
      <c r="G8" s="3"/>
      <c r="H8" s="3"/>
      <c r="I8" s="3"/>
      <c r="J8" s="3"/>
      <c r="K8" s="3"/>
      <c r="L8" s="3"/>
    </row>
    <row r="9" spans="1:12" ht="24">
      <c r="A9" s="3" t="str">
        <f>IF('[1]Master Checklist'!C9="","",'[1]Master Checklist'!A9)</f>
        <v>IA01-04</v>
      </c>
      <c r="B9" s="3" t="str">
        <f>IF('[1]Master Checklist'!C9="","",'[1]Master Checklist'!B9)</f>
        <v>IA-01 General UI</v>
      </c>
      <c r="C9" s="3" t="str">
        <f>IF('[1]Master Checklist'!C9="","",'[1]Master Checklist'!C9)</f>
        <v>Text and essential icons have sufficient contrast against their background, including hover, focus, disabled, and selected states.</v>
      </c>
      <c r="D9" s="3"/>
      <c r="E9" s="3"/>
      <c r="F9" s="3"/>
      <c r="G9" s="3"/>
      <c r="H9" s="3"/>
      <c r="I9" s="3"/>
      <c r="J9" s="3"/>
      <c r="K9" s="3"/>
      <c r="L9" s="3"/>
    </row>
    <row r="10" spans="1:12" ht="24">
      <c r="A10" s="3" t="str">
        <f>IF('[1]Master Checklist'!C10="","",'[1]Master Checklist'!A10)</f>
        <v>IA01-05</v>
      </c>
      <c r="B10" s="3" t="str">
        <f>IF('[1]Master Checklist'!C10="","",'[1]Master Checklist'!B10)</f>
        <v>IA-01 General UI</v>
      </c>
      <c r="C10" s="3" t="str">
        <f>IF('[1]Master Checklist'!C10="","",'[1]Master Checklist'!C10)</f>
        <v>Meaning is not communicated by color alone; statuses also use text, icon, pattern, or another cue.</v>
      </c>
      <c r="D10" s="3"/>
      <c r="E10" s="3"/>
      <c r="F10" s="3"/>
      <c r="G10" s="3"/>
      <c r="H10" s="3"/>
      <c r="I10" s="3"/>
      <c r="J10" s="3"/>
      <c r="K10" s="3"/>
      <c r="L10" s="3"/>
    </row>
    <row r="11" spans="1:12" ht="24">
      <c r="A11" s="3" t="str">
        <f>IF('[1]Master Checklist'!C11="","",'[1]Master Checklist'!A11)</f>
        <v>IA01-06</v>
      </c>
      <c r="B11" s="3" t="str">
        <f>IF('[1]Master Checklist'!C11="","",'[1]Master Checklist'!B11)</f>
        <v>IA-01 General UI</v>
      </c>
      <c r="C11" s="3" t="str">
        <f>IF('[1]Master Checklist'!C11="","",'[1]Master Checklist'!C11)</f>
        <v>Images and icons are sharp, use the expected aspect ratio, include useful alternative text, and do not distort.</v>
      </c>
      <c r="D11" s="3"/>
      <c r="E11" s="3"/>
      <c r="F11" s="3"/>
      <c r="G11" s="3"/>
      <c r="H11" s="3"/>
      <c r="I11" s="3"/>
      <c r="J11" s="3"/>
      <c r="K11" s="3"/>
      <c r="L11" s="3"/>
    </row>
    <row r="12" spans="1:12" ht="24">
      <c r="A12" s="3" t="str">
        <f>IF('[1]Master Checklist'!C12="","",'[1]Master Checklist'!A12)</f>
        <v>IA01-07</v>
      </c>
      <c r="B12" s="3" t="str">
        <f>IF('[1]Master Checklist'!C12="","",'[1]Master Checklist'!B12)</f>
        <v>IA-01 General UI</v>
      </c>
      <c r="C12" s="3" t="str">
        <f>IF('[1]Master Checklist'!C12="","",'[1]Master Checklist'!C12)</f>
        <v>Interactive controls visibly distinguish default, hover, keyboard-focus, active, selected, and disabled states.</v>
      </c>
      <c r="D12" s="3"/>
      <c r="E12" s="3"/>
      <c r="F12" s="3"/>
      <c r="G12" s="3"/>
      <c r="H12" s="3"/>
      <c r="I12" s="3"/>
      <c r="J12" s="3"/>
      <c r="K12" s="3"/>
      <c r="L12" s="3"/>
    </row>
    <row r="13" spans="1:12" ht="24">
      <c r="A13" s="3" t="str">
        <f>IF('[1]Master Checklist'!C13="","",'[1]Master Checklist'!A13)</f>
        <v>IA01-08</v>
      </c>
      <c r="B13" s="3" t="str">
        <f>IF('[1]Master Checklist'!C13="","",'[1]Master Checklist'!B13)</f>
        <v>IA-01 General UI</v>
      </c>
      <c r="C13" s="3" t="str">
        <f>IF('[1]Master Checklist'!C13="","",'[1]Master Checklist'!C13)</f>
        <v>English and Vietnamese are complete and consistent across visible text, page titles, validation messages, dialogs, toasts, and manuals.</v>
      </c>
      <c r="D13" s="3"/>
      <c r="E13" s="3"/>
      <c r="F13" s="3"/>
      <c r="G13" s="3"/>
      <c r="H13" s="3"/>
      <c r="I13" s="3"/>
      <c r="J13" s="3"/>
      <c r="K13" s="3"/>
      <c r="L13" s="3"/>
    </row>
    <row r="14" spans="1:12" ht="24">
      <c r="A14" s="3" t="str">
        <f>IF('[1]Master Checklist'!C14="","",'[1]Master Checklist'!A14)</f>
        <v>IA01-09</v>
      </c>
      <c r="B14" s="3" t="str">
        <f>IF('[1]Master Checklist'!C14="","",'[1]Master Checklist'!B14)</f>
        <v>IA-01 General UI</v>
      </c>
      <c r="C14" s="3" t="str">
        <f>IF('[1]Master Checklist'!C14="","",'[1]Master Checklist'!C14)</f>
        <v>Dates, times, time zones, numbers, and percentages use an unambiguous and consistent locale format.</v>
      </c>
      <c r="D14" s="3"/>
      <c r="E14" s="3"/>
      <c r="F14" s="3"/>
      <c r="G14" s="3"/>
      <c r="H14" s="3"/>
      <c r="I14" s="3"/>
      <c r="J14" s="3"/>
      <c r="K14" s="3"/>
      <c r="L14" s="3"/>
    </row>
    <row r="15" spans="1:12" ht="24">
      <c r="A15" s="3" t="str">
        <f>IF('[1]Master Checklist'!C15="","",'[1]Master Checklist'!A15)</f>
        <v>IA01-10</v>
      </c>
      <c r="B15" s="3" t="str">
        <f>IF('[1]Master Checklist'!C15="","",'[1]Master Checklist'!B15)</f>
        <v>IA-01 General UI</v>
      </c>
      <c r="C15" s="3" t="str">
        <f>IF('[1]Master Checklist'!C15="","",'[1]Master Checklist'!C15)</f>
        <v>Loading, empty, no-result, offline/server-error, and access-denied states are visually distinct and preserve layout stability.</v>
      </c>
      <c r="D15" s="3"/>
      <c r="E15" s="3"/>
      <c r="F15" s="3"/>
      <c r="G15" s="3"/>
      <c r="H15" s="3"/>
      <c r="I15" s="3"/>
      <c r="J15" s="3"/>
      <c r="K15" s="3"/>
      <c r="L15" s="3"/>
    </row>
    <row r="16" spans="1:12" ht="24">
      <c r="A16" s="3" t="str">
        <f>IF('[1]Master Checklist'!C16="","",'[1]Master Checklist'!A16)</f>
        <v>IA01-11</v>
      </c>
      <c r="B16" s="3" t="str">
        <f>IF('[1]Master Checklist'!C16="","",'[1]Master Checklist'!B16)</f>
        <v>IA-01 General UI</v>
      </c>
      <c r="C16" s="3" t="str">
        <f>IF('[1]Master Checklist'!C16="","",'[1]Master Checklist'!C16)</f>
        <v>Terms, icons, role names, and status names match the vocabulary and mental model of students, lecturers, guests, and admins.</v>
      </c>
      <c r="D16" s="3"/>
      <c r="E16" s="3"/>
      <c r="F16" s="3"/>
      <c r="G16" s="3"/>
      <c r="H16" s="3"/>
      <c r="I16" s="3"/>
      <c r="J16" s="3"/>
      <c r="K16" s="3"/>
      <c r="L16" s="3"/>
    </row>
    <row r="17" spans="1:12" ht="24">
      <c r="A17" s="3" t="str">
        <f>IF('[1]Master Checklist'!C17="","",'[1]Master Checklist'!A17)</f>
        <v>IA01-12</v>
      </c>
      <c r="B17" s="3" t="str">
        <f>IF('[1]Master Checklist'!C17="","",'[1]Master Checklist'!B17)</f>
        <v>IA-01 General UI</v>
      </c>
      <c r="C17" s="3" t="str">
        <f>IF('[1]Master Checklist'!C17="","",'[1]Master Checklist'!C17)</f>
        <v>Each screen shows only relevant information and actions; obsolete, duplicated, or low-priority content does not compete with the task.</v>
      </c>
      <c r="D17" s="3"/>
      <c r="E17" s="3"/>
      <c r="F17" s="3"/>
      <c r="G17" s="3"/>
      <c r="H17" s="3"/>
      <c r="I17" s="3"/>
      <c r="J17" s="3"/>
      <c r="K17" s="3"/>
      <c r="L17" s="3"/>
    </row>
    <row r="18" spans="1:12" ht="24">
      <c r="A18" s="3" t="str">
        <f>IF('[1]Master Checklist'!C18="","",'[1]Master Checklist'!A18)</f>
        <v>IA01-13</v>
      </c>
      <c r="B18" s="3" t="str">
        <f>IF('[1]Master Checklist'!C18="","",'[1]Master Checklist'!B18)</f>
        <v>IA-01 General UI</v>
      </c>
      <c r="C18" s="3" t="str">
        <f>IF('[1]Master Checklist'!C18="","",'[1]Master Checklist'!C18)</f>
        <v>The browser page title, primary heading, and current route consistently identify the current screen.</v>
      </c>
      <c r="D18" s="3"/>
      <c r="E18" s="3"/>
      <c r="F18" s="3"/>
      <c r="G18" s="3"/>
      <c r="H18" s="3"/>
      <c r="I18" s="3"/>
      <c r="J18" s="3"/>
      <c r="K18" s="3"/>
      <c r="L18" s="3"/>
    </row>
    <row r="19" spans="1:12" ht="24">
      <c r="A19" s="3" t="str">
        <f>IF('[1]Master Checklist'!C19="","",'[1]Master Checklist'!A19)</f>
        <v>IA01-14</v>
      </c>
      <c r="B19" s="3" t="str">
        <f>IF('[1]Master Checklist'!C19="","",'[1]Master Checklist'!B19)</f>
        <v>IA-01 General UI</v>
      </c>
      <c r="C19" s="3" t="str">
        <f>IF('[1]Master Checklist'!C19="","",'[1]Master Checklist'!C19)</f>
        <v>Content remains readable and operable when browser zoom is increased and when long translated text is displayed.</v>
      </c>
      <c r="D19" s="3"/>
      <c r="E19" s="3"/>
      <c r="F19" s="3"/>
      <c r="G19" s="3"/>
      <c r="H19" s="3"/>
      <c r="I19" s="3"/>
      <c r="J19" s="3"/>
      <c r="K19" s="3"/>
      <c r="L19" s="3"/>
    </row>
    <row r="20" spans="1:12" ht="24">
      <c r="A20" s="3" t="str">
        <f>IF('[1]Master Checklist'!C20="","",'[1]Master Checklist'!A20)</f>
        <v>IA02-01</v>
      </c>
      <c r="B20" s="3" t="str">
        <f>IF('[1]Master Checklist'!C20="","",'[1]Master Checklist'!B20)</f>
        <v>IA-02 Forms</v>
      </c>
      <c r="C20" s="3" t="str">
        <f>IF('[1]Master Checklist'!C20="","",'[1]Master Checklist'!C20)</f>
        <v>Every input has a persistent, descriptive, programmatically associated label; placeholder text is not the only label.</v>
      </c>
      <c r="D20" s="3"/>
      <c r="E20" s="3"/>
      <c r="F20" s="3"/>
      <c r="G20" s="3"/>
      <c r="H20" s="3"/>
      <c r="I20" s="3"/>
      <c r="J20" s="3"/>
      <c r="K20" s="3"/>
      <c r="L20" s="3"/>
    </row>
    <row r="21" spans="1:12" ht="15.75" customHeight="1">
      <c r="A21" s="3" t="str">
        <f>IF('[1]Master Checklist'!C21="","",'[1]Master Checklist'!A21)</f>
        <v>IA02-02</v>
      </c>
      <c r="B21" s="3" t="str">
        <f>IF('[1]Master Checklist'!C21="","",'[1]Master Checklist'!B21)</f>
        <v>IA-02 Forms</v>
      </c>
      <c r="C21" s="3" t="str">
        <f>IF('[1]Master Checklist'!C21="","",'[1]Master Checklist'!C21)</f>
        <v>Required fields are clearly marked in text/symbol and exposed programmatically before submission.</v>
      </c>
      <c r="D21" s="3"/>
      <c r="E21" s="3"/>
      <c r="F21" s="3"/>
      <c r="G21" s="3"/>
      <c r="H21" s="3"/>
      <c r="I21" s="3"/>
      <c r="J21" s="3"/>
      <c r="K21" s="3"/>
      <c r="L21" s="3"/>
    </row>
    <row r="22" spans="1:12" ht="15.75" customHeight="1">
      <c r="A22" s="3" t="str">
        <f>IF('[1]Master Checklist'!C22="","",'[1]Master Checklist'!A22)</f>
        <v>IA02-03</v>
      </c>
      <c r="B22" s="3" t="str">
        <f>IF('[1]Master Checklist'!C22="","",'[1]Master Checklist'!B22)</f>
        <v>IA-02 Forms</v>
      </c>
      <c r="C22" s="3" t="str">
        <f>IF('[1]Master Checklist'!C22="","",'[1]Master Checklist'!C22)</f>
        <v>Input format, allowed values, limits, and examples are shown before entry for fields with password rules, max length/slots, date/time patterns, upload types, or numeric ranges.</v>
      </c>
      <c r="D22" s="3"/>
      <c r="E22" s="3"/>
      <c r="F22" s="3"/>
      <c r="G22" s="3"/>
      <c r="H22" s="3"/>
      <c r="I22" s="3"/>
      <c r="J22" s="3"/>
      <c r="K22" s="3"/>
      <c r="L22" s="3"/>
    </row>
    <row r="23" spans="1:12" ht="15.75" customHeight="1">
      <c r="A23" s="3" t="str">
        <f>IF('[1]Master Checklist'!C23="","",'[1]Master Checklist'!A23)</f>
        <v>IA02-04</v>
      </c>
      <c r="B23" s="3" t="str">
        <f>IF('[1]Master Checklist'!C23="","",'[1]Master Checklist'!B23)</f>
        <v>IA-02 Forms</v>
      </c>
      <c r="C23" s="3" t="str">
        <f>IF('[1]Master Checklist'!C23="","",'[1]Master Checklist'!C23)</f>
        <v>Form controls follow a logical keyboard order and each focused field/control has a visible focus indicator.</v>
      </c>
      <c r="D23" s="3"/>
      <c r="E23" s="3"/>
      <c r="F23" s="3"/>
      <c r="G23" s="3"/>
      <c r="H23" s="3"/>
      <c r="I23" s="3"/>
      <c r="J23" s="3"/>
      <c r="K23" s="3"/>
      <c r="L23" s="3"/>
    </row>
    <row r="24" spans="1:12" ht="15.75" customHeight="1">
      <c r="A24" s="3" t="str">
        <f>IF('[1]Master Checklist'!C24="","",'[1]Master Checklist'!A24)</f>
        <v>IA02-05</v>
      </c>
      <c r="B24" s="3" t="str">
        <f>IF('[1]Master Checklist'!C24="","",'[1]Master Checklist'!B24)</f>
        <v>IA-02 Forms</v>
      </c>
      <c r="C24" s="3" t="str">
        <f>IF('[1]Master Checklist'!C24="","",'[1]Master Checklist'!C24)</f>
        <v>Input type, keyboard, autocomplete, masking, and password visibility behavior suit the requested data.</v>
      </c>
      <c r="D24" s="3"/>
      <c r="E24" s="3"/>
      <c r="F24" s="3"/>
      <c r="G24" s="3"/>
      <c r="H24" s="3"/>
      <c r="I24" s="3"/>
      <c r="J24" s="3"/>
      <c r="K24" s="3"/>
      <c r="L24" s="3"/>
    </row>
    <row r="25" spans="1:12" ht="15.75" customHeight="1">
      <c r="A25" s="3" t="str">
        <f>IF('[1]Master Checklist'!C25="","",'[1]Master Checklist'!A25)</f>
        <v>IA02-06</v>
      </c>
      <c r="B25" s="3" t="str">
        <f>IF('[1]Master Checklist'!C25="","",'[1]Master Checklist'!B25)</f>
        <v>IA-02 Forms</v>
      </c>
      <c r="C25" s="3" t="str">
        <f>IF('[1]Master Checklist'!C25="","",'[1]Master Checklist'!C25)</f>
        <v>Validation occurs at an appropriate time and does not interrupt typing or show errors before the user can act.</v>
      </c>
      <c r="D25" s="3"/>
      <c r="E25" s="3"/>
      <c r="F25" s="3"/>
      <c r="G25" s="3"/>
      <c r="H25" s="3"/>
      <c r="I25" s="3"/>
      <c r="J25" s="3"/>
      <c r="K25" s="3"/>
      <c r="L25" s="3"/>
    </row>
    <row r="26" spans="1:12" ht="15.75" customHeight="1">
      <c r="A26" s="3" t="str">
        <f>IF('[1]Master Checklist'!C26="","",'[1]Master Checklist'!A26)</f>
        <v>IA02-07</v>
      </c>
      <c r="B26" s="3" t="str">
        <f>IF('[1]Master Checklist'!C26="","",'[1]Master Checklist'!B26)</f>
        <v>IA-02 Forms</v>
      </c>
      <c r="C26" s="3" t="str">
        <f>IF('[1]Master Checklist'!C26="","",'[1]Master Checklist'!C26)</f>
        <v>Each validation error is specific, written in plain language, placed near the relevant field, and not conveyed by color alone. Mark Pass only if all four conditions hold</v>
      </c>
      <c r="D26" s="3"/>
      <c r="E26" s="3"/>
      <c r="F26" s="3"/>
      <c r="G26" s="3"/>
      <c r="H26" s="3"/>
      <c r="I26" s="3"/>
      <c r="J26" s="3"/>
      <c r="K26" s="3"/>
      <c r="L26" s="3"/>
    </row>
    <row r="27" spans="1:12" ht="15.75" customHeight="1">
      <c r="A27" s="3" t="str">
        <f>IF('[1]Master Checklist'!C27="","",'[1]Master Checklist'!A27)</f>
        <v>IA02-08</v>
      </c>
      <c r="B27" s="3" t="str">
        <f>IF('[1]Master Checklist'!C27="","",'[1]Master Checklist'!B27)</f>
        <v>IA-02 Forms</v>
      </c>
      <c r="C27" s="3" t="str">
        <f>IF('[1]Master Checklist'!C27="","",'[1]Master Checklist'!C27)</f>
        <v>After failed submission, focus moves to a useful error location and the user can identify every invalid field. Mark Pass only if both hold.</v>
      </c>
      <c r="D27" s="3"/>
      <c r="E27" s="3"/>
      <c r="F27" s="3"/>
      <c r="G27" s="3"/>
      <c r="H27" s="3"/>
      <c r="I27" s="3"/>
      <c r="J27" s="3"/>
      <c r="K27" s="3"/>
      <c r="L27" s="3"/>
    </row>
    <row r="28" spans="1:12" ht="15.75" customHeight="1">
      <c r="A28" s="3" t="str">
        <f>IF('[1]Master Checklist'!C28="","",'[1]Master Checklist'!A28)</f>
        <v>IA02-09</v>
      </c>
      <c r="B28" s="3" t="str">
        <f>IF('[1]Master Checklist'!C28="","",'[1]Master Checklist'!B28)</f>
        <v>IA-02 Forms</v>
      </c>
      <c r="C28" s="3" t="str">
        <f>IF('[1]Master Checklist'!C28="","",'[1]Master Checklist'!C28)</f>
        <v>Non-sensitive values remain intact after validation or server errors so the user does not have to re-enter the form.</v>
      </c>
      <c r="D28" s="3"/>
      <c r="E28" s="3"/>
      <c r="F28" s="3"/>
      <c r="G28" s="3"/>
      <c r="H28" s="3"/>
      <c r="I28" s="3"/>
      <c r="J28" s="3"/>
      <c r="K28" s="3"/>
      <c r="L28" s="3"/>
    </row>
    <row r="29" spans="1:12" ht="15.75" customHeight="1">
      <c r="A29" s="3" t="str">
        <f>IF('[1]Master Checklist'!C29="","",'[1]Master Checklist'!A29)</f>
        <v>IA02-10</v>
      </c>
      <c r="B29" s="3" t="str">
        <f>IF('[1]Master Checklist'!C29="","",'[1]Master Checklist'!B29)</f>
        <v>IA-02 Forms</v>
      </c>
      <c r="C29" s="3" t="str">
        <f>IF('[1]Master Checklist'!C29="","",'[1]Master Checklist'!C29)</f>
        <v>Related date/time fields enforce valid ordering and explain conflicts among registration, event, and check-in periods.</v>
      </c>
      <c r="D29" s="3"/>
      <c r="E29" s="3"/>
      <c r="F29" s="3"/>
      <c r="G29" s="3"/>
      <c r="H29" s="3"/>
      <c r="I29" s="3"/>
      <c r="J29" s="3"/>
      <c r="K29" s="3"/>
      <c r="L29" s="3"/>
    </row>
    <row r="30" spans="1:12" ht="15.75" customHeight="1">
      <c r="A30" s="3" t="str">
        <f>IF('[1]Master Checklist'!C30="","",'[1]Master Checklist'!A30)</f>
        <v>IA02-11</v>
      </c>
      <c r="B30" s="3" t="str">
        <f>IF('[1]Master Checklist'!C30="","",'[1]Master Checklist'!B30)</f>
        <v>IA-02 Forms</v>
      </c>
      <c r="C30" s="3" t="str">
        <f>IF('[1]Master Checklist'!C30="","",'[1]Master Checklist'!C30)</f>
        <v>File upload shows allowed type, size, count, and aspect ratio; it provides preview, remove/replace, progress, and failure recovery.</v>
      </c>
      <c r="D30" s="3"/>
      <c r="E30" s="3"/>
      <c r="F30" s="3"/>
      <c r="G30" s="3"/>
      <c r="H30" s="3"/>
      <c r="I30" s="3"/>
      <c r="J30" s="3"/>
      <c r="K30" s="3"/>
      <c r="L30" s="3"/>
    </row>
    <row r="31" spans="1:12" ht="15.75" customHeight="1">
      <c r="A31" s="3" t="str">
        <f>IF('[1]Master Checklist'!C31="","",'[1]Master Checklist'!A31)</f>
        <v>IA02-12</v>
      </c>
      <c r="B31" s="3" t="str">
        <f>IF('[1]Master Checklist'!C31="","",'[1]Master Checklist'!B31)</f>
        <v>IA-02 Forms</v>
      </c>
      <c r="C31" s="3" t="str">
        <f>IF('[1]Master Checklist'!C31="","",'[1]Master Checklist'!C31)</f>
        <v>Rich-text controls have understandable labels, keyboard access, predictable formatting, and a reliable preview/output state.</v>
      </c>
      <c r="D31" s="3"/>
      <c r="E31" s="3"/>
      <c r="F31" s="3"/>
      <c r="G31" s="3"/>
      <c r="H31" s="3"/>
      <c r="I31" s="3"/>
      <c r="J31" s="3"/>
      <c r="K31" s="3"/>
      <c r="L31" s="3"/>
    </row>
    <row r="32" spans="1:12" ht="15.75" customHeight="1">
      <c r="A32" s="3" t="str">
        <f>IF('[1]Master Checklist'!C32="","",'[1]Master Checklist'!A32)</f>
        <v>IA02-13</v>
      </c>
      <c r="B32" s="3" t="str">
        <f>IF('[1]Master Checklist'!C32="","",'[1]Master Checklist'!B32)</f>
        <v>IA-02 Forms</v>
      </c>
      <c r="C32" s="3" t="str">
        <f>IF('[1]Master Checklist'!C32="","",'[1]Master Checklist'!C32)</f>
        <v>Role selectors, toggles, radio buttons, checkboxes, and dependent fields clearly show selection and enforce mutual-exclusion/dependency rules.</v>
      </c>
      <c r="D32" s="3"/>
      <c r="E32" s="3"/>
      <c r="F32" s="3"/>
      <c r="G32" s="3"/>
      <c r="H32" s="3"/>
      <c r="I32" s="3"/>
      <c r="J32" s="3"/>
      <c r="K32" s="3"/>
      <c r="L32" s="3"/>
    </row>
    <row r="33" spans="1:12" ht="15.75" customHeight="1">
      <c r="A33" s="3" t="str">
        <f>IF('[1]Master Checklist'!C33="","",'[1]Master Checklist'!A33)</f>
        <v>IA02-14</v>
      </c>
      <c r="B33" s="3" t="str">
        <f>IF('[1]Master Checklist'!C33="","",'[1]Master Checklist'!B33)</f>
        <v>IA-02 Forms</v>
      </c>
      <c r="C33" s="3" t="str">
        <f>IF('[1]Master Checklist'!C33="","",'[1]Master Checklist'!C33)</f>
        <v>Submit/save/publish controls prevent duplicate submission, show progress, and explain why they are disabled when prerequisites are unmet.</v>
      </c>
      <c r="D33" s="3"/>
      <c r="E33" s="3"/>
      <c r="F33" s="3"/>
      <c r="G33" s="3"/>
      <c r="H33" s="3"/>
      <c r="I33" s="3"/>
      <c r="J33" s="3"/>
      <c r="K33" s="3"/>
      <c r="L33" s="3"/>
    </row>
    <row r="34" spans="1:12" ht="15.75" customHeight="1">
      <c r="A34" s="3" t="str">
        <f>IF('[1]Master Checklist'!C34="","",'[1]Master Checklist'!A34)</f>
        <v>IA03-01</v>
      </c>
      <c r="B34" s="3" t="str">
        <f>IF('[1]Master Checklist'!C34="","",'[1]Master Checklist'!B34)</f>
        <v>IA-03 Navigation</v>
      </c>
      <c r="C34" s="3" t="str">
        <f>IF('[1]Master Checklist'!C34="","",'[1]Master Checklist'!C34)</f>
        <v>Global navigation, header, sidebar, and user menu remain consistent across screens and roles.</v>
      </c>
      <c r="D34" s="3"/>
      <c r="E34" s="3"/>
      <c r="F34" s="3"/>
      <c r="G34" s="3"/>
      <c r="H34" s="3"/>
      <c r="I34" s="3"/>
      <c r="J34" s="3"/>
      <c r="K34" s="3"/>
      <c r="L34" s="3"/>
    </row>
    <row r="35" spans="1:12" ht="15.75" customHeight="1">
      <c r="A35" s="3" t="str">
        <f>IF('[1]Master Checklist'!C35="","",'[1]Master Checklist'!A35)</f>
        <v>IA03-02</v>
      </c>
      <c r="B35" s="3" t="str">
        <f>IF('[1]Master Checklist'!C35="","",'[1]Master Checklist'!B35)</f>
        <v>IA-03 Navigation</v>
      </c>
      <c r="C35" s="3" t="str">
        <f>IF('[1]Master Checklist'!C35="","",'[1]Master Checklist'!C35)</f>
        <v>The current location is clearly indicated through active navigation, heading, breadcrumb, tab, or another visible cue.</v>
      </c>
      <c r="D35" s="3"/>
      <c r="E35" s="3"/>
      <c r="F35" s="3"/>
      <c r="G35" s="3"/>
      <c r="H35" s="3"/>
      <c r="I35" s="3"/>
      <c r="J35" s="3"/>
      <c r="K35" s="3"/>
      <c r="L35" s="3"/>
    </row>
    <row r="36" spans="1:12" ht="15.75" customHeight="1">
      <c r="A36" s="3" t="str">
        <f>IF('[1]Master Checklist'!C36="","",'[1]Master Checklist'!A36)</f>
        <v>IA03-03</v>
      </c>
      <c r="B36" s="3" t="str">
        <f>IF('[1]Master Checklist'!C36="","",'[1]Master Checklist'!B36)</f>
        <v>IA-03 Navigation</v>
      </c>
      <c r="C36" s="3" t="str">
        <f>IF('[1]Master Checklist'!C36="","",'[1]Master Checklist'!C36)</f>
        <v>Links navigate and buttons perform actions; labels accurately predict the destination or action.</v>
      </c>
      <c r="D36" s="3"/>
      <c r="E36" s="3"/>
      <c r="F36" s="3"/>
      <c r="G36" s="3"/>
      <c r="H36" s="3"/>
      <c r="I36" s="3"/>
      <c r="J36" s="3"/>
      <c r="K36" s="3"/>
      <c r="L36" s="3"/>
    </row>
    <row r="37" spans="1:12" ht="15.75" customHeight="1">
      <c r="A37" s="3" t="str">
        <f>IF('[1]Master Checklist'!C37="","",'[1]Master Checklist'!A37)</f>
        <v>IA03-04</v>
      </c>
      <c r="B37" s="3" t="str">
        <f>IF('[1]Master Checklist'!C37="","",'[1]Master Checklist'!B37)</f>
        <v>IA-03 Navigation</v>
      </c>
      <c r="C37" s="3" t="str">
        <f>IF('[1]Master Checklist'!C37="","",'[1]Master Checklist'!C37)</f>
        <v>Back, Cancel, Close, and Return actions lead to a predictable prior context without losing data unexpectedly.</v>
      </c>
      <c r="D37" s="3"/>
      <c r="E37" s="3"/>
      <c r="F37" s="3"/>
      <c r="G37" s="3"/>
      <c r="H37" s="3"/>
      <c r="I37" s="3"/>
      <c r="J37" s="3"/>
      <c r="K37" s="3"/>
      <c r="L37" s="3"/>
    </row>
    <row r="38" spans="1:12" ht="15.75" customHeight="1">
      <c r="A38" s="3" t="str">
        <f>IF('[1]Master Checklist'!C38="","",'[1]Master Checklist'!A38)</f>
        <v>IA03-05</v>
      </c>
      <c r="B38" s="3" t="str">
        <f>IF('[1]Master Checklist'!C38="","",'[1]Master Checklist'!B38)</f>
        <v>IA-03 Navigation</v>
      </c>
      <c r="C38" s="3" t="str">
        <f>IF('[1]Master Checklist'!C38="","",'[1]Master Checklist'!C38)</f>
        <v>Deep links open the intended screen after authentication; invalid, expired, or unauthorized links provide a safe recovery path.</v>
      </c>
      <c r="D38" s="3"/>
      <c r="E38" s="3"/>
      <c r="F38" s="3"/>
      <c r="G38" s="3"/>
      <c r="H38" s="3"/>
      <c r="I38" s="3"/>
      <c r="J38" s="3"/>
      <c r="K38" s="3"/>
      <c r="L38" s="3"/>
    </row>
    <row r="39" spans="1:12" ht="15.75" customHeight="1">
      <c r="A39" s="3" t="str">
        <f>IF('[1]Master Checklist'!C39="","",'[1]Master Checklist'!A39)</f>
        <v>IA03-06</v>
      </c>
      <c r="B39" s="3" t="str">
        <f>IF('[1]Master Checklist'!C39="","",'[1]Master Checklist'!B39)</f>
        <v>IA-03 Navigation</v>
      </c>
      <c r="C39" s="3" t="str">
        <f>IF('[1]Master Checklist'!C39="","",'[1]Master Checklist'!C39)</f>
        <v>Tabs and status filters show the selected state, update the correct content, and preserve a meaningful history/location.</v>
      </c>
      <c r="D39" s="3"/>
      <c r="E39" s="3"/>
      <c r="F39" s="3"/>
      <c r="G39" s="3"/>
      <c r="H39" s="3"/>
      <c r="I39" s="3"/>
      <c r="J39" s="3"/>
      <c r="K39" s="3"/>
      <c r="L39" s="3"/>
    </row>
    <row r="40" spans="1:12" ht="15.75" customHeight="1">
      <c r="A40" s="3" t="str">
        <f>IF('[1]Master Checklist'!C40="","",'[1]Master Checklist'!A40)</f>
        <v>IA03-07</v>
      </c>
      <c r="B40" s="3" t="str">
        <f>IF('[1]Master Checklist'!C40="","",'[1]Master Checklist'!B40)</f>
        <v>IA-03 Navigation</v>
      </c>
      <c r="C40" s="3" t="str">
        <f>IF('[1]Master Checklist'!C40="","",'[1]Master Checklist'!C40)</f>
        <v>Search and filters have clear labels, visible applied state, result count/empty state, Clear action, and predictable persistence.</v>
      </c>
      <c r="D40" s="3"/>
      <c r="E40" s="3"/>
      <c r="F40" s="3"/>
      <c r="G40" s="3"/>
      <c r="H40" s="3"/>
      <c r="I40" s="3"/>
      <c r="J40" s="3"/>
      <c r="K40" s="3"/>
      <c r="L40" s="3"/>
    </row>
    <row r="41" spans="1:12" ht="15.75" customHeight="1">
      <c r="A41" s="3" t="str">
        <f>IF('[1]Master Checklist'!C41="","",'[1]Master Checklist'!A41)</f>
        <v>IA03-08</v>
      </c>
      <c r="B41" s="3" t="str">
        <f>IF('[1]Master Checklist'!C41="","",'[1]Master Checklist'!B41)</f>
        <v>IA-03 Navigation</v>
      </c>
      <c r="C41" s="3" t="str">
        <f>IF('[1]Master Checklist'!C41="","",'[1]Master Checklist'!C41)</f>
        <v>All essential navigation can be completed with keyboard only, with no keyboard trap and a logical focus order.</v>
      </c>
      <c r="D41" s="3"/>
      <c r="E41" s="3"/>
      <c r="F41" s="3"/>
      <c r="G41" s="3"/>
      <c r="H41" s="3"/>
      <c r="I41" s="3"/>
      <c r="J41" s="3"/>
      <c r="K41" s="3"/>
      <c r="L41" s="3"/>
    </row>
    <row r="42" spans="1:12" ht="15.75" customHeight="1">
      <c r="A42" s="3" t="str">
        <f>IF('[1]Master Checklist'!C42="","",'[1]Master Checklist'!A42)</f>
        <v>IA03-09</v>
      </c>
      <c r="B42" s="3" t="str">
        <f>IF('[1]Master Checklist'!C42="","",'[1]Master Checklist'!B42)</f>
        <v>IA-03 Navigation</v>
      </c>
      <c r="C42" s="3" t="str">
        <f>IF('[1]Master Checklist'!C42="","",'[1]Master Checklist'!C42)</f>
        <v>Opening and closing a modal, drawer, menu, or lightbox moves and restores focus to a logical control.</v>
      </c>
      <c r="D42" s="3"/>
      <c r="E42" s="3"/>
      <c r="F42" s="3"/>
      <c r="G42" s="3"/>
      <c r="H42" s="3"/>
      <c r="I42" s="3"/>
      <c r="J42" s="3"/>
      <c r="K42" s="3"/>
      <c r="L42" s="3"/>
    </row>
    <row r="43" spans="1:12" ht="15.75" customHeight="1">
      <c r="A43" s="3" t="str">
        <f>IF('[1]Master Checklist'!C43="","",'[1]Master Checklist'!A43)</f>
        <v>IA03-10</v>
      </c>
      <c r="B43" s="3" t="str">
        <f>IF('[1]Master Checklist'!C43="","",'[1]Master Checklist'!B43)</f>
        <v>IA-03 Navigation</v>
      </c>
      <c r="C43" s="3" t="str">
        <f>IF('[1]Master Checklist'!C43="","",'[1]Master Checklist'!C43)</f>
        <v>Menus and overlays support expected dismissal methods such as Escape, explicit Close/Cancel, and safe outside-click behavior.</v>
      </c>
      <c r="D43" s="3"/>
      <c r="E43" s="3"/>
      <c r="F43" s="3"/>
      <c r="G43" s="3"/>
      <c r="H43" s="3"/>
      <c r="I43" s="3"/>
      <c r="J43" s="3"/>
      <c r="K43" s="3"/>
      <c r="L43" s="3"/>
    </row>
    <row r="44" spans="1:12" ht="15.75" customHeight="1">
      <c r="A44" s="3" t="str">
        <f>IF('[1]Master Checklist'!C44="","",'[1]Master Checklist'!A44)</f>
        <v>IA03-11</v>
      </c>
      <c r="B44" s="3" t="str">
        <f>IF('[1]Master Checklist'!C44="","",'[1]Master Checklist'!B44)</f>
        <v>IA-03 Navigation</v>
      </c>
      <c r="C44" s="3" t="str">
        <f>IF('[1]Master Checklist'!C44="","",'[1]Master Checklist'!C44)</f>
        <v>Drag-and-drop reordering has visible drop feedback, error recovery, and an alternative for users who cannot drag.</v>
      </c>
      <c r="D44" s="3"/>
      <c r="E44" s="3"/>
      <c r="F44" s="3"/>
      <c r="G44" s="3"/>
      <c r="H44" s="3"/>
      <c r="I44" s="3"/>
      <c r="J44" s="3"/>
      <c r="K44" s="3"/>
      <c r="L44" s="3"/>
    </row>
    <row r="45" spans="1:12" ht="15.75" customHeight="1">
      <c r="A45" s="3" t="str">
        <f>IF('[1]Master Checklist'!C45="","",'[1]Master Checklist'!A45)</f>
        <v>IA03-12</v>
      </c>
      <c r="B45" s="3" t="str">
        <f>IF('[1]Master Checklist'!C45="","",'[1]Master Checklist'!B45)</f>
        <v>IA-03 Navigation</v>
      </c>
      <c r="C45" s="3" t="str">
        <f>IF('[1]Master Checklist'!C45="","",'[1]Master Checklist'!C45)</f>
        <v>Pagination or infinite lists preserve filters and return the user to the previous item/scroll context.</v>
      </c>
      <c r="D45" s="3"/>
      <c r="E45" s="3"/>
      <c r="F45" s="3"/>
      <c r="G45" s="3"/>
      <c r="H45" s="3"/>
      <c r="I45" s="3"/>
      <c r="J45" s="3"/>
      <c r="K45" s="3"/>
      <c r="L45" s="3"/>
    </row>
    <row r="46" spans="1:12" ht="15.75" customHeight="1">
      <c r="A46" s="3" t="str">
        <f>IF('[1]Master Checklist'!C46="","",'[1]Master Checklist'!A46)</f>
        <v>IA03-13</v>
      </c>
      <c r="B46" s="3" t="str">
        <f>IF('[1]Master Checklist'!C46="","",'[1]Master Checklist'!B46)</f>
        <v>IA-03 Navigation</v>
      </c>
      <c r="C46" s="3" t="str">
        <f>IF('[1]Master Checklist'!C46="","",'[1]Master Checklist'!C46)</f>
        <v>External links and downloads are identifiable and do not unexpectedly replace an in-progress task.</v>
      </c>
      <c r="D46" s="3"/>
      <c r="E46" s="3"/>
      <c r="F46" s="3"/>
      <c r="G46" s="3"/>
      <c r="H46" s="3"/>
      <c r="I46" s="3"/>
      <c r="J46" s="3"/>
      <c r="K46" s="3"/>
      <c r="L46" s="3"/>
    </row>
    <row r="47" spans="1:12" ht="15.75" customHeight="1">
      <c r="A47" s="3" t="str">
        <f>IF('[1]Master Checklist'!C47="","",'[1]Master Checklist'!A47)</f>
        <v>IA03-14</v>
      </c>
      <c r="B47" s="3" t="str">
        <f>IF('[1]Master Checklist'!C47="","",'[1]Master Checklist'!B47)</f>
        <v>IA-03 Navigation</v>
      </c>
      <c r="C47" s="3" t="str">
        <f>IF('[1]Master Checklist'!C47="","",'[1]Master Checklist'!C47)</f>
        <v>Responsive navigation keeps all essential destinations and actions discoverable without accidental overlap or off-screen menus.</v>
      </c>
      <c r="D47" s="3"/>
      <c r="E47" s="3"/>
      <c r="F47" s="3"/>
      <c r="G47" s="3"/>
      <c r="H47" s="3"/>
      <c r="I47" s="3"/>
      <c r="J47" s="3"/>
      <c r="K47" s="3"/>
      <c r="L47" s="3"/>
    </row>
    <row r="48" spans="1:12" ht="15.75" customHeight="1">
      <c r="A48" s="3" t="str">
        <f>IF('[1]Master Checklist'!C48="","",'[1]Master Checklist'!A48)</f>
        <v>IA04-01</v>
      </c>
      <c r="B48" s="3" t="str">
        <f>IF('[1]Master Checklist'!C48="","",'[1]Master Checklist'!B48)</f>
        <v>IA-04 Feedback / State</v>
      </c>
      <c r="C48" s="3" t="str">
        <f>IF('[1]Master Checklist'!C48="","",'[1]Master Checklist'!C48)</f>
        <v>Every user action receives timely, proportionate, and understandable feedback.</v>
      </c>
      <c r="D48" s="3"/>
      <c r="E48" s="3"/>
      <c r="F48" s="3"/>
      <c r="G48" s="3"/>
      <c r="H48" s="3"/>
      <c r="I48" s="3"/>
      <c r="J48" s="3"/>
      <c r="K48" s="3"/>
      <c r="L48" s="3"/>
    </row>
    <row r="49" spans="1:12" ht="15.75" customHeight="1">
      <c r="A49" s="3" t="str">
        <f>IF('[1]Master Checklist'!C49="","",'[1]Master Checklist'!A49)</f>
        <v>IA04-02</v>
      </c>
      <c r="B49" s="3" t="str">
        <f>IF('[1]Master Checklist'!C49="","",'[1]Master Checklist'!B49)</f>
        <v>IA-04 Feedback / State</v>
      </c>
      <c r="C49" s="3" t="str">
        <f>IF('[1]Master Checklist'!C49="","",'[1]Master Checklist'!C49)</f>
        <v>Asynchronous operations show loading/progress and prevent conflicting actions while keeping the page responsive.</v>
      </c>
      <c r="D49" s="3"/>
      <c r="E49" s="3"/>
      <c r="F49" s="3"/>
      <c r="G49" s="3"/>
      <c r="H49" s="3"/>
      <c r="I49" s="3"/>
      <c r="J49" s="3"/>
      <c r="K49" s="3"/>
      <c r="L49" s="3"/>
    </row>
    <row r="50" spans="1:12" ht="15.75" customHeight="1">
      <c r="A50" s="3" t="str">
        <f>IF('[1]Master Checklist'!C50="","",'[1]Master Checklist'!A50)</f>
        <v>IA04-03</v>
      </c>
      <c r="B50" s="3" t="str">
        <f>IF('[1]Master Checklist'!C50="","",'[1]Master Checklist'!B50)</f>
        <v>IA-04 Feedback / State</v>
      </c>
      <c r="C50" s="3" t="str">
        <f>IF('[1]Master Checklist'!C50="","",'[1]Master Checklist'!C50)</f>
        <v>Success feedback states what changed and what the user can do next.</v>
      </c>
      <c r="D50" s="3"/>
      <c r="E50" s="3"/>
      <c r="F50" s="3"/>
      <c r="G50" s="3"/>
      <c r="H50" s="3"/>
      <c r="I50" s="3"/>
      <c r="J50" s="3"/>
      <c r="K50" s="3"/>
      <c r="L50" s="3"/>
    </row>
    <row r="51" spans="1:12" ht="15.75" customHeight="1">
      <c r="A51" s="3" t="str">
        <f>IF('[1]Master Checklist'!C51="","",'[1]Master Checklist'!A51)</f>
        <v>IA04-04</v>
      </c>
      <c r="B51" s="3" t="str">
        <f>IF('[1]Master Checklist'!C51="","",'[1]Master Checklist'!B51)</f>
        <v>IA-04 Feedback / State</v>
      </c>
      <c r="C51" s="3" t="str">
        <f>IF('[1]Master Checklist'!C51="","",'[1]Master Checklist'!C51)</f>
        <v>Failure feedback explains the problem, preserves useful state, and offers a concrete recovery or retry path.</v>
      </c>
      <c r="D51" s="3"/>
      <c r="E51" s="3"/>
      <c r="F51" s="3"/>
      <c r="G51" s="3"/>
      <c r="H51" s="3"/>
      <c r="I51" s="3"/>
      <c r="J51" s="3"/>
      <c r="K51" s="3"/>
      <c r="L51" s="3"/>
    </row>
    <row r="52" spans="1:12" ht="15.75" customHeight="1">
      <c r="A52" s="3" t="str">
        <f>IF('[1]Master Checklist'!C52="","",'[1]Master Checklist'!A52)</f>
        <v>IA04-05</v>
      </c>
      <c r="B52" s="3" t="str">
        <f>IF('[1]Master Checklist'!C52="","",'[1]Master Checklist'!B52)</f>
        <v>IA-04 Feedback / State</v>
      </c>
      <c r="C52" s="3" t="str">
        <f>IF('[1]Master Checklist'!C52="","",'[1]Master Checklist'!C52)</f>
        <v>Toasts and alerts are readable long enough, dismissible when appropriate, do not cover key controls, and are announced to assistive technology.</v>
      </c>
      <c r="D52" s="3"/>
      <c r="E52" s="3"/>
      <c r="F52" s="3"/>
      <c r="G52" s="3"/>
      <c r="H52" s="3"/>
      <c r="I52" s="3"/>
      <c r="J52" s="3"/>
      <c r="K52" s="3"/>
      <c r="L52" s="3"/>
    </row>
    <row r="53" spans="1:12" ht="15.75" customHeight="1">
      <c r="A53" s="3" t="str">
        <f>IF('[1]Master Checklist'!C53="","",'[1]Master Checklist'!A53)</f>
        <v>IA04-06</v>
      </c>
      <c r="B53" s="3" t="str">
        <f>IF('[1]Master Checklist'!C53="","",'[1]Master Checklist'!B53)</f>
        <v>IA-04 Feedback / State</v>
      </c>
      <c r="C53" s="3" t="str">
        <f>IF('[1]Master Checklist'!C53="","",'[1]Master Checklist'!C53)</f>
        <v>Status badges use consistent wording, color, iconography, and meaning across list, detail, notification, and report views.</v>
      </c>
      <c r="D53" s="3"/>
      <c r="E53" s="3"/>
      <c r="F53" s="3"/>
      <c r="G53" s="3"/>
      <c r="H53" s="3"/>
      <c r="I53" s="3"/>
      <c r="J53" s="3"/>
      <c r="K53" s="3"/>
      <c r="L53" s="3"/>
    </row>
    <row r="54" spans="1:12" ht="15.75" customHeight="1">
      <c r="A54" s="3" t="str">
        <f>IF('[1]Master Checklist'!C54="","",'[1]Master Checklist'!A54)</f>
        <v>IA04-07</v>
      </c>
      <c r="B54" s="3" t="str">
        <f>IF('[1]Master Checklist'!C54="","",'[1]Master Checklist'!B54)</f>
        <v>IA-04 Feedback / State</v>
      </c>
      <c r="C54" s="3" t="str">
        <f>IF('[1]Master Checklist'!C54="","",'[1]Master Checklist'!C54)</f>
        <v>Confirmation dialogs identify the object, consequence, and action; the safe choice is clear and keyboard focus is appropriate.</v>
      </c>
      <c r="D54" s="3"/>
      <c r="E54" s="3"/>
      <c r="F54" s="3"/>
      <c r="G54" s="3"/>
      <c r="H54" s="3"/>
      <c r="I54" s="3"/>
      <c r="J54" s="3"/>
      <c r="K54" s="3"/>
      <c r="L54" s="3"/>
    </row>
    <row r="55" spans="1:12" ht="15.75" customHeight="1">
      <c r="A55" s="3" t="str">
        <f>IF('[1]Master Checklist'!C55="","",'[1]Master Checklist'!A55)</f>
        <v>IA04-08</v>
      </c>
      <c r="B55" s="3" t="str">
        <f>IF('[1]Master Checklist'!C55="","",'[1]Master Checklist'!B55)</f>
        <v>IA-04 Feedback / State</v>
      </c>
      <c r="C55" s="3" t="str">
        <f>IF('[1]Master Checklist'!C55="","",'[1]Master Checklist'!C55)</f>
        <v>Users can cancel, undo, or reverse actions when reversal is technically reasonable.</v>
      </c>
      <c r="D55" s="3"/>
      <c r="E55" s="3"/>
      <c r="F55" s="3"/>
      <c r="G55" s="3"/>
      <c r="H55" s="3"/>
      <c r="I55" s="3"/>
      <c r="J55" s="3"/>
      <c r="K55" s="3"/>
      <c r="L55" s="3"/>
    </row>
    <row r="56" spans="1:12" ht="15.75" customHeight="1">
      <c r="A56" s="3" t="str">
        <f>IF('[1]Master Checklist'!C56="","",'[1]Master Checklist'!A56)</f>
        <v>IA04-09</v>
      </c>
      <c r="B56" s="3" t="str">
        <f>IF('[1]Master Checklist'!C56="","",'[1]Master Checklist'!B56)</f>
        <v>IA-04 Feedback / State</v>
      </c>
      <c r="C56" s="3" t="str">
        <f>IF('[1]Master Checklist'!C56="","",'[1]Master Checklist'!C56)</f>
        <v>Progress indicators are accurate, labeled, and clearly distinguish determinate from indeterminate work.</v>
      </c>
      <c r="D56" s="3"/>
      <c r="E56" s="3"/>
      <c r="F56" s="3"/>
      <c r="G56" s="3"/>
      <c r="H56" s="3"/>
      <c r="I56" s="3"/>
      <c r="J56" s="3"/>
      <c r="K56" s="3"/>
      <c r="L56" s="3"/>
    </row>
    <row r="57" spans="1:12" ht="15.75" customHeight="1">
      <c r="A57" s="3" t="str">
        <f>IF('[1]Master Checklist'!C57="","",'[1]Master Checklist'!A57)</f>
        <v>IA04-10</v>
      </c>
      <c r="B57" s="3" t="str">
        <f>IF('[1]Master Checklist'!C57="","",'[1]Master Checklist'!B57)</f>
        <v>IA-04 Feedback / State</v>
      </c>
      <c r="C57" s="3" t="str">
        <f>IF('[1]Master Checklist'!C57="","",'[1]Master Checklist'!C57)</f>
        <v>Real-time updates do not silently reorder content, overwrite edits, or remove the user's context; meaningful changes are announced.</v>
      </c>
      <c r="D57" s="3"/>
      <c r="E57" s="3"/>
      <c r="F57" s="3"/>
      <c r="G57" s="3"/>
      <c r="H57" s="3"/>
      <c r="I57" s="3"/>
      <c r="J57" s="3"/>
      <c r="K57" s="3"/>
      <c r="L57" s="3"/>
    </row>
    <row r="58" spans="1:12" ht="15.75" customHeight="1">
      <c r="A58" s="3" t="str">
        <f>IF('[1]Master Checklist'!C58="","",'[1]Master Checklist'!A58)</f>
        <v>IA04-11</v>
      </c>
      <c r="B58" s="3" t="str">
        <f>IF('[1]Master Checklist'!C58="","",'[1]Master Checklist'!B58)</f>
        <v>IA-04 Feedback / State</v>
      </c>
      <c r="C58" s="3" t="str">
        <f>IF('[1]Master Checklist'!C58="","",'[1]Master Checklist'!C58)</f>
        <v>Empty and no-result states explain why no content is shown and offer the next useful action.</v>
      </c>
      <c r="D58" s="3"/>
      <c r="E58" s="3"/>
      <c r="F58" s="3"/>
      <c r="G58" s="3"/>
      <c r="H58" s="3"/>
      <c r="I58" s="3"/>
      <c r="J58" s="3"/>
      <c r="K58" s="3"/>
      <c r="L58" s="3"/>
    </row>
    <row r="59" spans="1:12" ht="15.75" customHeight="1">
      <c r="A59" s="3" t="str">
        <f>IF('[1]Master Checklist'!C59="","",'[1]Master Checklist'!A59)</f>
        <v>IA04-12</v>
      </c>
      <c r="B59" s="3" t="str">
        <f>IF('[1]Master Checklist'!C59="","",'[1]Master Checklist'!B59)</f>
        <v>IA-04 Feedback / State</v>
      </c>
      <c r="C59" s="3" t="str">
        <f>IF('[1]Master Checklist'!C59="","",'[1]Master Checklist'!C59)</f>
        <v>Authentication, authorization, and session-expiry feedback clearly distinguish signed-out, forbidden, and server-failure states without exposing sensitive data.</v>
      </c>
      <c r="D59" s="3"/>
      <c r="E59" s="3"/>
      <c r="F59" s="3"/>
      <c r="G59" s="3"/>
      <c r="H59" s="3"/>
      <c r="I59" s="3"/>
      <c r="J59" s="3"/>
      <c r="K59" s="3"/>
      <c r="L59" s="3"/>
    </row>
    <row r="60" spans="1:12" ht="15.75" customHeight="1">
      <c r="A60" s="3" t="str">
        <f>IF('[1]Master Checklist'!C60="","",'[1]Master Checklist'!A60)</f>
        <v>IA04-13</v>
      </c>
      <c r="B60" s="3" t="str">
        <f>IF('[1]Master Checklist'!C60="","",'[1]Master Checklist'!B60)</f>
        <v>IA-04 Feedback / State</v>
      </c>
      <c r="C60" s="3" t="str">
        <f>IF('[1]Master Checklist'!C60="","",'[1]Master Checklist'!C60)</f>
        <v>Disabled controls expose the unmet prerequisite or condition instead of appearing broken.</v>
      </c>
      <c r="D60" s="3"/>
      <c r="E60" s="3"/>
      <c r="F60" s="3"/>
      <c r="G60" s="3"/>
      <c r="H60" s="3"/>
      <c r="I60" s="3"/>
      <c r="J60" s="3"/>
      <c r="K60" s="3"/>
      <c r="L60" s="3"/>
    </row>
    <row r="61" spans="1:12" ht="15.75" customHeight="1">
      <c r="A61" s="3" t="str">
        <f>IF('[1]Master Checklist'!C61="","",'[1]Master Checklist'!A61)</f>
        <v>IA04-14</v>
      </c>
      <c r="B61" s="3" t="str">
        <f>IF('[1]Master Checklist'!C61="","",'[1]Master Checklist'!B61)</f>
        <v>IA-04 Feedback / State</v>
      </c>
      <c r="C61" s="3" t="str">
        <f>IF('[1]Master Checklist'!C61="","",'[1]Master Checklist'!C61)</f>
        <v>Repeated clicks, refreshes, retries, or network reconnection do not create duplicate records or conflicting visible states.</v>
      </c>
      <c r="D61" s="3"/>
      <c r="E61" s="3"/>
      <c r="F61" s="3"/>
      <c r="G61" s="3"/>
      <c r="H61" s="3"/>
      <c r="I61" s="3"/>
      <c r="J61" s="3"/>
      <c r="K61" s="3"/>
      <c r="L61" s="3"/>
    </row>
    <row r="62" spans="1:12" ht="15.75" customHeight="1">
      <c r="A62" s="3" t="e">
        <f t="shared" ref="A62:C62" si="0">IF(#REF!="","",#REF!)</f>
        <v>#REF!</v>
      </c>
      <c r="B62" s="3" t="e">
        <f t="shared" si="0"/>
        <v>#REF!</v>
      </c>
      <c r="C62" s="3" t="e">
        <f t="shared" si="0"/>
        <v>#REF!</v>
      </c>
      <c r="D62" s="3"/>
      <c r="E62" s="3"/>
      <c r="F62" s="3"/>
      <c r="G62" s="3"/>
      <c r="H62" s="3"/>
      <c r="I62" s="3"/>
      <c r="J62" s="3"/>
      <c r="K62" s="3"/>
      <c r="L62" s="3"/>
    </row>
    <row r="63" spans="1:12" ht="15.75" customHeight="1">
      <c r="A63" s="3" t="e">
        <f t="shared" ref="A63:C63" si="1">IF(#REF!="","",#REF!)</f>
        <v>#REF!</v>
      </c>
      <c r="B63" s="3" t="e">
        <f t="shared" si="1"/>
        <v>#REF!</v>
      </c>
      <c r="C63" s="3" t="e">
        <f t="shared" si="1"/>
        <v>#REF!</v>
      </c>
      <c r="D63" s="3"/>
      <c r="E63" s="3"/>
      <c r="F63" s="3"/>
      <c r="G63" s="3"/>
      <c r="H63" s="3"/>
      <c r="I63" s="3"/>
      <c r="J63" s="3"/>
      <c r="K63" s="3"/>
      <c r="L63" s="3"/>
    </row>
    <row r="64" spans="1:12" ht="15.75" customHeight="1">
      <c r="A64" s="3" t="e">
        <f t="shared" ref="A64:C64" si="2">IF(#REF!="","",#REF!)</f>
        <v>#REF!</v>
      </c>
      <c r="B64" s="3" t="e">
        <f t="shared" si="2"/>
        <v>#REF!</v>
      </c>
      <c r="C64" s="3" t="e">
        <f t="shared" si="2"/>
        <v>#REF!</v>
      </c>
      <c r="D64" s="3"/>
      <c r="E64" s="3"/>
      <c r="F64" s="3"/>
      <c r="G64" s="3"/>
      <c r="H64" s="3"/>
      <c r="I64" s="3"/>
      <c r="J64" s="3"/>
      <c r="K64" s="3"/>
      <c r="L64" s="3"/>
    </row>
    <row r="65" spans="1:12" ht="15.75" customHeight="1">
      <c r="A65" s="6" t="e">
        <f t="shared" ref="A65:C65" si="3">IF(#REF!="","",#REF!)</f>
        <v>#REF!</v>
      </c>
      <c r="B65" s="6" t="e">
        <f t="shared" si="3"/>
        <v>#REF!</v>
      </c>
      <c r="C65" s="6" t="e">
        <f t="shared" si="3"/>
        <v>#REF!</v>
      </c>
      <c r="D65" s="6"/>
      <c r="E65" s="6"/>
      <c r="F65" s="6"/>
      <c r="G65" s="6"/>
      <c r="H65" s="6"/>
      <c r="I65" s="6"/>
      <c r="J65" s="6"/>
      <c r="K65" s="6"/>
      <c r="L65" s="6"/>
    </row>
    <row r="66" spans="1:12" ht="15.75" customHeight="1"/>
    <row r="67" spans="1:12" ht="15.75" customHeight="1"/>
    <row r="68" spans="1:12" ht="15.75" customHeight="1"/>
    <row r="69" spans="1:12" ht="15.75" customHeight="1"/>
    <row r="70" spans="1:12" ht="15.75" customHeight="1"/>
    <row r="71" spans="1:12" ht="15.75" customHeight="1"/>
    <row r="72" spans="1:12" ht="15.75" customHeight="1"/>
    <row r="73" spans="1:12" ht="15.75" customHeight="1"/>
    <row r="74" spans="1:12" ht="15.75" customHeight="1"/>
    <row r="75" spans="1:12" ht="15.75" customHeight="1"/>
    <row r="76" spans="1:12" ht="15.75" customHeight="1"/>
    <row r="77" spans="1:12" ht="15.75" customHeight="1"/>
    <row r="78" spans="1:12" ht="15.75" customHeight="1"/>
    <row r="79" spans="1:12" ht="15.75" customHeight="1"/>
    <row r="80" spans="1:1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conditionalFormatting sqref="D6:D65">
    <cfRule type="containsText" dxfId="23" priority="1" operator="containsText" text="Passed">
      <formula>NOT(ISERROR(SEARCH(("Passed"),(D6))))</formula>
    </cfRule>
    <cfRule type="containsText" dxfId="22" priority="2" operator="containsText" text="Failed">
      <formula>NOT(ISERROR(SEARCH(("Failed"),(D6))))</formula>
    </cfRule>
    <cfRule type="containsText" dxfId="21" priority="3" operator="containsText" text="Not Run">
      <formula>NOT(ISERROR(SEARCH(("Not Run"),(D6))))</formula>
    </cfRule>
  </conditionalFormatting>
  <conditionalFormatting sqref="G6:G65">
    <cfRule type="containsText" dxfId="20" priority="4" operator="containsText" text="Passed">
      <formula>NOT(ISERROR(SEARCH(("Passed"),(G6))))</formula>
    </cfRule>
    <cfRule type="containsText" dxfId="19" priority="5" operator="containsText" text="Failed">
      <formula>NOT(ISERROR(SEARCH(("Failed"),(G6))))</formula>
    </cfRule>
    <cfRule type="containsText" dxfId="18" priority="6" operator="containsText" text="Not Run">
      <formula>NOT(ISERROR(SEARCH(("Not Run"),(G6))))</formula>
    </cfRule>
  </conditionalFormatting>
  <conditionalFormatting sqref="J6:J65">
    <cfRule type="containsText" dxfId="17" priority="7" operator="containsText" text="Passed">
      <formula>NOT(ISERROR(SEARCH(("Passed"),(J6))))</formula>
    </cfRule>
    <cfRule type="containsText" dxfId="16" priority="8" operator="containsText" text="Failed">
      <formula>NOT(ISERROR(SEARCH(("Failed"),(J6))))</formula>
    </cfRule>
    <cfRule type="containsText" dxfId="15" priority="9" operator="containsText" text="Not Run">
      <formula>NOT(ISERROR(SEARCH(("Not Run"),(J6))))</formula>
    </cfRule>
  </conditionalFormatting>
  <dataValidations count="1">
    <dataValidation type="list" allowBlank="1" sqref="D6:D65 G6:G65 J6:J65" xr:uid="{00000000-0002-0000-0400-000000000000}">
      <formula1>"Not Run,Passed,Failed"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000"/>
  <sheetViews>
    <sheetView showGridLines="0" workbookViewId="0"/>
  </sheetViews>
  <sheetFormatPr defaultColWidth="12.625" defaultRowHeight="15" customHeight="1"/>
  <cols>
    <col min="1" max="1" width="12" customWidth="1"/>
    <col min="2" max="2" width="18" customWidth="1"/>
    <col min="3" max="3" width="22" customWidth="1"/>
    <col min="4" max="4" width="24" customWidth="1"/>
    <col min="5" max="5" width="14" customWidth="1"/>
    <col min="6" max="6" width="18" customWidth="1"/>
    <col min="7" max="7" width="16" customWidth="1"/>
    <col min="8" max="8" width="14" customWidth="1"/>
    <col min="9" max="9" width="12" customWidth="1"/>
    <col min="10" max="10" width="14" customWidth="1"/>
    <col min="11" max="11" width="16" customWidth="1"/>
    <col min="12" max="12" width="40" customWidth="1"/>
    <col min="13" max="26" width="8.625" customWidth="1"/>
  </cols>
  <sheetData>
    <row r="1" spans="1:12" ht="33.75" customHeight="1">
      <c r="A1" s="28" t="s">
        <v>205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31.5" customHeight="1">
      <c r="A2" s="29" t="s">
        <v>207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4" spans="1:12">
      <c r="A4" s="37" t="s">
        <v>208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ht="30" customHeight="1">
      <c r="A5" s="1" t="s">
        <v>209</v>
      </c>
      <c r="B5" s="1" t="s">
        <v>210</v>
      </c>
      <c r="C5" s="1" t="s">
        <v>211</v>
      </c>
      <c r="D5" s="1" t="s">
        <v>213</v>
      </c>
      <c r="E5" s="1" t="s">
        <v>214</v>
      </c>
      <c r="F5" s="1" t="s">
        <v>215</v>
      </c>
      <c r="G5" s="1" t="s">
        <v>218</v>
      </c>
      <c r="H5" s="1" t="s">
        <v>220</v>
      </c>
      <c r="I5" s="1" t="s">
        <v>222</v>
      </c>
      <c r="J5" s="1" t="s">
        <v>223</v>
      </c>
      <c r="K5" s="1" t="s">
        <v>225</v>
      </c>
      <c r="L5" s="1" t="s">
        <v>227</v>
      </c>
    </row>
    <row r="6" spans="1:12" ht="14.25">
      <c r="A6" s="2" t="s">
        <v>229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ht="14.25">
      <c r="A7" s="3" t="s">
        <v>232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ht="14.25">
      <c r="A8" s="3" t="s">
        <v>248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4.25">
      <c r="A9" s="3" t="s">
        <v>249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ht="14.25">
      <c r="A10" s="3" t="s">
        <v>250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ht="14.25">
      <c r="A11" s="6" t="s">
        <v>251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3" spans="1:12">
      <c r="A13" s="26" t="s">
        <v>252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>
      <c r="A14" s="13" t="s">
        <v>253</v>
      </c>
      <c r="B14" s="13"/>
      <c r="C14" s="13" t="s">
        <v>254</v>
      </c>
      <c r="D14" s="13"/>
      <c r="E14" s="13" t="s">
        <v>255</v>
      </c>
      <c r="F14" s="13"/>
      <c r="G14" s="13" t="s">
        <v>256</v>
      </c>
      <c r="H14" s="13"/>
    </row>
    <row r="15" spans="1:12" ht="15.75">
      <c r="A15" s="14">
        <f>COUNTIF(G7:G11,"Completed")/5</f>
        <v>0</v>
      </c>
      <c r="B15" s="15"/>
      <c r="C15" s="15" t="str">
        <f>IF(COUNTA(H7:H11)=0,"",AVERAGE(H7:H11))</f>
        <v/>
      </c>
      <c r="D15" s="15"/>
      <c r="E15" s="15" t="str">
        <f>IF(COUNTA(I7:I11)=0,"",AVERAGE(I7:I11))</f>
        <v/>
      </c>
      <c r="F15" s="15"/>
      <c r="G15" s="15" t="str">
        <f>IF(COUNTA(J7:J11)=0,"",AVERAGE(J7:J11))</f>
        <v/>
      </c>
      <c r="H15" s="15"/>
    </row>
    <row r="18" spans="1:12" ht="30" customHeight="1">
      <c r="A18" s="1" t="s">
        <v>257</v>
      </c>
      <c r="B18" s="1" t="s">
        <v>258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36">
      <c r="A19" s="2" t="s">
        <v>262</v>
      </c>
      <c r="B19" s="2" t="s">
        <v>263</v>
      </c>
    </row>
    <row r="20" spans="1:12" ht="36">
      <c r="A20" s="3" t="s">
        <v>264</v>
      </c>
      <c r="B20" s="3" t="s">
        <v>265</v>
      </c>
    </row>
    <row r="21" spans="1:12" ht="15.75" customHeight="1">
      <c r="A21" s="3" t="s">
        <v>266</v>
      </c>
      <c r="B21" s="3" t="s">
        <v>268</v>
      </c>
    </row>
    <row r="22" spans="1:12" ht="15.75" customHeight="1">
      <c r="A22" s="3" t="s">
        <v>269</v>
      </c>
      <c r="B22" s="3" t="s">
        <v>270</v>
      </c>
    </row>
    <row r="23" spans="1:12" ht="15.75" customHeight="1">
      <c r="A23" s="6" t="s">
        <v>271</v>
      </c>
      <c r="B23" s="6" t="s">
        <v>272</v>
      </c>
    </row>
    <row r="24" spans="1:12" ht="15.75" customHeight="1"/>
    <row r="25" spans="1:12" ht="15.75" customHeight="1"/>
    <row r="26" spans="1:12" ht="15.75" customHeight="1"/>
    <row r="27" spans="1:12" ht="15.75" customHeight="1"/>
    <row r="28" spans="1:12" ht="15.75" customHeight="1"/>
    <row r="29" spans="1:12" ht="15.75" customHeight="1"/>
    <row r="30" spans="1:12" ht="15.75" customHeight="1"/>
    <row r="31" spans="1:12" ht="15.75" customHeight="1"/>
    <row r="32" spans="1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L1"/>
    <mergeCell ref="A2:L2"/>
    <mergeCell ref="A4:L4"/>
    <mergeCell ref="A13:L13"/>
  </mergeCells>
  <dataValidations count="4">
    <dataValidation type="list" allowBlank="1" sqref="G6:G11" xr:uid="{00000000-0002-0000-0500-000000000000}">
      <formula1>"Completed,Partial,Failed"</formula1>
    </dataValidation>
    <dataValidation type="list" allowBlank="1" sqref="C6:C11" xr:uid="{00000000-0002-0000-0500-000001000000}">
      <formula1>"Student,Lecturer,Guest/Event-goer,Other target user"</formula1>
    </dataValidation>
    <dataValidation type="list" allowBlank="1" sqref="E6:F11" xr:uid="{00000000-0002-0000-0500-000002000000}">
      <formula1>"Yes,No"</formula1>
    </dataValidation>
    <dataValidation type="decimal" operator="greaterThanOrEqual" allowBlank="1" sqref="H6:K11" xr:uid="{00000000-0002-0000-0500-000003000000}">
      <formula1>0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000"/>
  <sheetViews>
    <sheetView showGridLines="0" workbookViewId="0">
      <selection sqref="A1:M1"/>
    </sheetView>
  </sheetViews>
  <sheetFormatPr defaultColWidth="12.625" defaultRowHeight="15" customHeight="1"/>
  <cols>
    <col min="1" max="1" width="16" customWidth="1"/>
    <col min="2" max="11" width="12" customWidth="1"/>
    <col min="12" max="12" width="20" customWidth="1"/>
    <col min="13" max="13" width="16" customWidth="1"/>
    <col min="14" max="26" width="8.625" customWidth="1"/>
  </cols>
  <sheetData>
    <row r="1" spans="1:13" ht="33.75" customHeight="1">
      <c r="A1" s="28" t="s">
        <v>233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3" ht="31.5" customHeight="1">
      <c r="A2" s="29" t="s">
        <v>234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5" spans="1:13" ht="30" customHeight="1">
      <c r="A5" s="1" t="s">
        <v>235</v>
      </c>
      <c r="B5" s="1" t="s">
        <v>236</v>
      </c>
      <c r="C5" s="1" t="s">
        <v>237</v>
      </c>
      <c r="D5" s="1" t="s">
        <v>238</v>
      </c>
      <c r="E5" s="1" t="s">
        <v>239</v>
      </c>
      <c r="F5" s="1" t="s">
        <v>240</v>
      </c>
      <c r="G5" s="1" t="s">
        <v>241</v>
      </c>
      <c r="H5" s="1" t="s">
        <v>242</v>
      </c>
      <c r="I5" s="1" t="s">
        <v>243</v>
      </c>
      <c r="J5" s="1" t="s">
        <v>244</v>
      </c>
      <c r="K5" s="1" t="s">
        <v>245</v>
      </c>
      <c r="L5" s="1" t="s">
        <v>246</v>
      </c>
      <c r="M5" s="1" t="s">
        <v>247</v>
      </c>
    </row>
    <row r="7" spans="1:13" ht="14.25">
      <c r="A7" s="2" t="s">
        <v>232</v>
      </c>
      <c r="B7" s="2"/>
      <c r="C7" s="2"/>
      <c r="D7" s="2"/>
      <c r="E7" s="2"/>
      <c r="F7" s="2"/>
      <c r="G7" s="2"/>
      <c r="H7" s="2"/>
      <c r="I7" s="2"/>
      <c r="J7" s="2"/>
      <c r="K7" s="2"/>
      <c r="L7" s="11" t="str">
        <f t="shared" ref="L7:L11" si="0">IF(COUNTA(B7:K7)&lt;10,"",(B7-1)+(5-C7)+(D7-1)+(5-E7)+(F7-1)+(5-G7)+(H7-1)+(5-I7)+(J7-1)+(5-K7))</f>
        <v/>
      </c>
      <c r="M7" s="11" t="str">
        <f t="shared" ref="M7:M11" si="1">IF(L7="","",L7*2.5)</f>
        <v/>
      </c>
    </row>
    <row r="8" spans="1:13" ht="14.25">
      <c r="A8" s="3" t="s">
        <v>248</v>
      </c>
      <c r="B8" s="3"/>
      <c r="C8" s="3"/>
      <c r="D8" s="3"/>
      <c r="E8" s="3"/>
      <c r="F8" s="3"/>
      <c r="G8" s="3"/>
      <c r="H8" s="3"/>
      <c r="I8" s="3"/>
      <c r="J8" s="3"/>
      <c r="K8" s="3"/>
      <c r="L8" s="12" t="str">
        <f t="shared" si="0"/>
        <v/>
      </c>
      <c r="M8" s="12" t="str">
        <f t="shared" si="1"/>
        <v/>
      </c>
    </row>
    <row r="9" spans="1:13" ht="14.25">
      <c r="A9" s="3" t="s">
        <v>249</v>
      </c>
      <c r="B9" s="3"/>
      <c r="C9" s="3"/>
      <c r="D9" s="3"/>
      <c r="E9" s="3"/>
      <c r="F9" s="3"/>
      <c r="G9" s="3"/>
      <c r="H9" s="3"/>
      <c r="I9" s="3"/>
      <c r="J9" s="3"/>
      <c r="K9" s="3"/>
      <c r="L9" s="12" t="str">
        <f t="shared" si="0"/>
        <v/>
      </c>
      <c r="M9" s="12" t="str">
        <f t="shared" si="1"/>
        <v/>
      </c>
    </row>
    <row r="10" spans="1:13" ht="14.25">
      <c r="A10" s="3" t="s">
        <v>250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12" t="str">
        <f t="shared" si="0"/>
        <v/>
      </c>
      <c r="M10" s="12" t="str">
        <f t="shared" si="1"/>
        <v/>
      </c>
    </row>
    <row r="11" spans="1:13" ht="14.25">
      <c r="A11" s="6" t="s">
        <v>251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16" t="str">
        <f t="shared" si="0"/>
        <v/>
      </c>
      <c r="M11" s="16" t="str">
        <f t="shared" si="1"/>
        <v/>
      </c>
    </row>
    <row r="13" spans="1:13" ht="16.5">
      <c r="A13" s="26" t="s">
        <v>19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17" t="str">
        <f>IF(COUNTA(B7:K11)=0,"",AVERAGE(M7:M11))</f>
        <v/>
      </c>
    </row>
    <row r="16" spans="1:13" ht="30" customHeight="1">
      <c r="A16" s="1" t="s">
        <v>259</v>
      </c>
      <c r="B16" s="43" t="s">
        <v>260</v>
      </c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ht="27" customHeight="1">
      <c r="A17" s="2" t="s">
        <v>236</v>
      </c>
      <c r="B17" s="45" t="s">
        <v>261</v>
      </c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</row>
    <row r="18" spans="1:13" ht="27" customHeight="1">
      <c r="A18" s="3" t="s">
        <v>237</v>
      </c>
      <c r="B18" s="39" t="s">
        <v>267</v>
      </c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1:13" ht="27" customHeight="1">
      <c r="A19" s="3" t="s">
        <v>238</v>
      </c>
      <c r="B19" s="39" t="s">
        <v>273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1:13" ht="27" customHeight="1">
      <c r="A20" s="3" t="s">
        <v>239</v>
      </c>
      <c r="B20" s="39" t="s">
        <v>274</v>
      </c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1:13" ht="27" customHeight="1">
      <c r="A21" s="3" t="s">
        <v>240</v>
      </c>
      <c r="B21" s="39" t="s">
        <v>275</v>
      </c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</row>
    <row r="22" spans="1:13" ht="27" customHeight="1">
      <c r="A22" s="3" t="s">
        <v>241</v>
      </c>
      <c r="B22" s="39" t="s">
        <v>276</v>
      </c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</row>
    <row r="23" spans="1:13" ht="27" customHeight="1">
      <c r="A23" s="3" t="s">
        <v>242</v>
      </c>
      <c r="B23" s="39" t="s">
        <v>277</v>
      </c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</row>
    <row r="24" spans="1:13" ht="27" customHeight="1">
      <c r="A24" s="3" t="s">
        <v>243</v>
      </c>
      <c r="B24" s="39" t="s">
        <v>278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</row>
    <row r="25" spans="1:13" ht="27" customHeight="1">
      <c r="A25" s="3" t="s">
        <v>244</v>
      </c>
      <c r="B25" s="39" t="s">
        <v>279</v>
      </c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</row>
    <row r="26" spans="1:13" ht="27" customHeight="1">
      <c r="A26" s="6" t="s">
        <v>245</v>
      </c>
      <c r="B26" s="41" t="s">
        <v>280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</row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B25:M25"/>
    <mergeCell ref="B26:M26"/>
    <mergeCell ref="A1:M1"/>
    <mergeCell ref="A2:M2"/>
    <mergeCell ref="A13:L13"/>
    <mergeCell ref="B16:M16"/>
    <mergeCell ref="B17:M17"/>
    <mergeCell ref="B18:M18"/>
    <mergeCell ref="B19:M19"/>
    <mergeCell ref="B20:M20"/>
    <mergeCell ref="B21:M21"/>
    <mergeCell ref="B22:M22"/>
    <mergeCell ref="B23:M23"/>
    <mergeCell ref="B24:M24"/>
  </mergeCells>
  <dataValidations count="1">
    <dataValidation type="decimal" allowBlank="1" sqref="B7:K11" xr:uid="{00000000-0002-0000-0600-000000000000}">
      <formula1>1</formula1>
      <formula2>5</formula2>
    </dataValidation>
  </dataValidation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1000"/>
  <sheetViews>
    <sheetView showGridLines="0" workbookViewId="0">
      <selection sqref="A1:M1"/>
    </sheetView>
  </sheetViews>
  <sheetFormatPr defaultColWidth="12.625" defaultRowHeight="15" customHeight="1"/>
  <cols>
    <col min="1" max="1" width="12" customWidth="1"/>
    <col min="2" max="2" width="26" customWidth="1"/>
    <col min="3" max="3" width="20" customWidth="1"/>
    <col min="4" max="4" width="24" customWidth="1"/>
    <col min="5" max="5" width="16" customWidth="1"/>
    <col min="6" max="6" width="36" customWidth="1"/>
    <col min="7" max="7" width="20" customWidth="1"/>
    <col min="8" max="8" width="14" customWidth="1"/>
    <col min="9" max="9" width="34" customWidth="1"/>
    <col min="10" max="10" width="46" customWidth="1"/>
    <col min="11" max="11" width="14" customWidth="1"/>
    <col min="12" max="12" width="28" customWidth="1"/>
    <col min="13" max="13" width="24" customWidth="1"/>
    <col min="14" max="26" width="8.625" customWidth="1"/>
  </cols>
  <sheetData>
    <row r="1" spans="1:13" ht="33.75" customHeight="1">
      <c r="A1" s="28" t="s">
        <v>281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3" ht="31.5" customHeight="1">
      <c r="A2" s="29" t="s">
        <v>282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4" spans="1:13">
      <c r="A4" s="37" t="s">
        <v>283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30" customHeight="1">
      <c r="A5" s="1" t="s">
        <v>284</v>
      </c>
      <c r="B5" s="1" t="s">
        <v>285</v>
      </c>
      <c r="C5" s="1" t="s">
        <v>286</v>
      </c>
      <c r="D5" s="1" t="s">
        <v>130</v>
      </c>
      <c r="E5" s="1" t="s">
        <v>287</v>
      </c>
      <c r="F5" s="1" t="s">
        <v>288</v>
      </c>
      <c r="G5" s="1" t="s">
        <v>289</v>
      </c>
      <c r="H5" s="1" t="s">
        <v>290</v>
      </c>
      <c r="I5" s="1" t="s">
        <v>291</v>
      </c>
      <c r="J5" s="1" t="s">
        <v>292</v>
      </c>
      <c r="K5" s="1" t="s">
        <v>294</v>
      </c>
      <c r="L5" s="1" t="s">
        <v>295</v>
      </c>
      <c r="M5" s="1" t="s">
        <v>297</v>
      </c>
    </row>
    <row r="6" spans="1:13" ht="14.25">
      <c r="A6" s="2" t="s">
        <v>298</v>
      </c>
      <c r="B6" s="2" t="s">
        <v>300</v>
      </c>
      <c r="C6" s="2" t="s">
        <v>145</v>
      </c>
      <c r="D6" s="2" t="s">
        <v>147</v>
      </c>
      <c r="E6" s="2" t="s">
        <v>148</v>
      </c>
      <c r="F6" s="2" t="s">
        <v>303</v>
      </c>
      <c r="G6" s="2" t="s">
        <v>150</v>
      </c>
      <c r="H6" s="2" t="s">
        <v>305</v>
      </c>
      <c r="I6" s="2"/>
      <c r="J6" s="2"/>
      <c r="K6" s="18"/>
      <c r="L6" s="2" t="s">
        <v>309</v>
      </c>
      <c r="M6" s="2" t="s">
        <v>311</v>
      </c>
    </row>
    <row r="7" spans="1:13" ht="14.25">
      <c r="A7" s="3" t="s">
        <v>313</v>
      </c>
      <c r="B7" s="3" t="s">
        <v>300</v>
      </c>
      <c r="C7" s="3" t="s">
        <v>145</v>
      </c>
      <c r="D7" s="3" t="s">
        <v>159</v>
      </c>
      <c r="E7" s="3" t="s">
        <v>148</v>
      </c>
      <c r="F7" s="3" t="s">
        <v>303</v>
      </c>
      <c r="G7" s="3" t="s">
        <v>161</v>
      </c>
      <c r="H7" s="3" t="s">
        <v>305</v>
      </c>
      <c r="I7" s="3"/>
      <c r="J7" s="3"/>
      <c r="K7" s="19"/>
      <c r="L7" s="3" t="s">
        <v>309</v>
      </c>
      <c r="M7" s="3" t="s">
        <v>311</v>
      </c>
    </row>
    <row r="8" spans="1:13" ht="14.25">
      <c r="A8" s="3" t="s">
        <v>317</v>
      </c>
      <c r="B8" s="3" t="s">
        <v>300</v>
      </c>
      <c r="C8" s="3" t="s">
        <v>169</v>
      </c>
      <c r="D8" s="3" t="s">
        <v>171</v>
      </c>
      <c r="E8" s="3" t="s">
        <v>148</v>
      </c>
      <c r="F8" s="3" t="s">
        <v>318</v>
      </c>
      <c r="G8" s="3" t="s">
        <v>172</v>
      </c>
      <c r="H8" s="3" t="s">
        <v>305</v>
      </c>
      <c r="I8" s="3"/>
      <c r="J8" s="3"/>
      <c r="K8" s="19"/>
      <c r="L8" s="3" t="s">
        <v>309</v>
      </c>
      <c r="M8" s="3" t="s">
        <v>311</v>
      </c>
    </row>
    <row r="9" spans="1:13" ht="14.25">
      <c r="A9" s="3" t="s">
        <v>319</v>
      </c>
      <c r="B9" s="3" t="s">
        <v>300</v>
      </c>
      <c r="C9" s="3" t="s">
        <v>180</v>
      </c>
      <c r="D9" s="3" t="s">
        <v>320</v>
      </c>
      <c r="E9" s="3" t="s">
        <v>183</v>
      </c>
      <c r="F9" s="3" t="s">
        <v>321</v>
      </c>
      <c r="G9" s="3" t="s">
        <v>322</v>
      </c>
      <c r="H9" s="3" t="s">
        <v>305</v>
      </c>
      <c r="I9" s="3"/>
      <c r="J9" s="3"/>
      <c r="K9" s="19"/>
      <c r="L9" s="3" t="s">
        <v>309</v>
      </c>
      <c r="M9" s="3" t="s">
        <v>323</v>
      </c>
    </row>
    <row r="10" spans="1:13" ht="14.25">
      <c r="A10" s="3" t="s">
        <v>324</v>
      </c>
      <c r="B10" s="3" t="s">
        <v>300</v>
      </c>
      <c r="C10" s="3" t="s">
        <v>190</v>
      </c>
      <c r="D10" s="3" t="s">
        <v>325</v>
      </c>
      <c r="E10" s="3" t="s">
        <v>192</v>
      </c>
      <c r="F10" s="3" t="s">
        <v>326</v>
      </c>
      <c r="G10" s="3" t="s">
        <v>327</v>
      </c>
      <c r="H10" s="3" t="s">
        <v>305</v>
      </c>
      <c r="I10" s="3"/>
      <c r="J10" s="3"/>
      <c r="K10" s="19"/>
      <c r="L10" s="3" t="s">
        <v>309</v>
      </c>
      <c r="M10" s="3" t="s">
        <v>323</v>
      </c>
    </row>
    <row r="11" spans="1:13" ht="14.25">
      <c r="A11" s="3" t="s">
        <v>328</v>
      </c>
      <c r="B11" s="3" t="s">
        <v>329</v>
      </c>
      <c r="C11" s="3" t="s">
        <v>145</v>
      </c>
      <c r="D11" s="3" t="s">
        <v>147</v>
      </c>
      <c r="E11" s="3" t="s">
        <v>148</v>
      </c>
      <c r="F11" s="3" t="s">
        <v>303</v>
      </c>
      <c r="G11" s="3" t="s">
        <v>150</v>
      </c>
      <c r="H11" s="3" t="s">
        <v>305</v>
      </c>
      <c r="I11" s="3"/>
      <c r="J11" s="3"/>
      <c r="K11" s="19"/>
      <c r="L11" s="3" t="s">
        <v>309</v>
      </c>
      <c r="M11" s="3" t="s">
        <v>311</v>
      </c>
    </row>
    <row r="12" spans="1:13" ht="14.25">
      <c r="A12" s="3" t="s">
        <v>330</v>
      </c>
      <c r="B12" s="3" t="s">
        <v>329</v>
      </c>
      <c r="C12" s="3" t="s">
        <v>145</v>
      </c>
      <c r="D12" s="3" t="s">
        <v>159</v>
      </c>
      <c r="E12" s="3" t="s">
        <v>148</v>
      </c>
      <c r="F12" s="3" t="s">
        <v>303</v>
      </c>
      <c r="G12" s="3" t="s">
        <v>161</v>
      </c>
      <c r="H12" s="3" t="s">
        <v>305</v>
      </c>
      <c r="I12" s="3"/>
      <c r="J12" s="3"/>
      <c r="K12" s="19"/>
      <c r="L12" s="3" t="s">
        <v>309</v>
      </c>
      <c r="M12" s="3" t="s">
        <v>311</v>
      </c>
    </row>
    <row r="13" spans="1:13" ht="14.25">
      <c r="A13" s="3" t="s">
        <v>331</v>
      </c>
      <c r="B13" s="3" t="s">
        <v>329</v>
      </c>
      <c r="C13" s="3" t="s">
        <v>169</v>
      </c>
      <c r="D13" s="3" t="s">
        <v>171</v>
      </c>
      <c r="E13" s="3" t="s">
        <v>148</v>
      </c>
      <c r="F13" s="3" t="s">
        <v>318</v>
      </c>
      <c r="G13" s="3" t="s">
        <v>172</v>
      </c>
      <c r="H13" s="3" t="s">
        <v>305</v>
      </c>
      <c r="I13" s="3"/>
      <c r="J13" s="3"/>
      <c r="K13" s="19"/>
      <c r="L13" s="3" t="s">
        <v>309</v>
      </c>
      <c r="M13" s="3" t="s">
        <v>311</v>
      </c>
    </row>
    <row r="14" spans="1:13" ht="14.25">
      <c r="A14" s="3" t="s">
        <v>332</v>
      </c>
      <c r="B14" s="3" t="s">
        <v>329</v>
      </c>
      <c r="C14" s="3" t="s">
        <v>180</v>
      </c>
      <c r="D14" s="3" t="s">
        <v>320</v>
      </c>
      <c r="E14" s="3" t="s">
        <v>183</v>
      </c>
      <c r="F14" s="3" t="s">
        <v>321</v>
      </c>
      <c r="G14" s="3" t="s">
        <v>322</v>
      </c>
      <c r="H14" s="3" t="s">
        <v>305</v>
      </c>
      <c r="I14" s="3"/>
      <c r="J14" s="3"/>
      <c r="K14" s="19"/>
      <c r="L14" s="3" t="s">
        <v>309</v>
      </c>
      <c r="M14" s="3" t="s">
        <v>323</v>
      </c>
    </row>
    <row r="15" spans="1:13" ht="14.25">
      <c r="A15" s="3" t="s">
        <v>333</v>
      </c>
      <c r="B15" s="3" t="s">
        <v>329</v>
      </c>
      <c r="C15" s="3" t="s">
        <v>190</v>
      </c>
      <c r="D15" s="3" t="s">
        <v>325</v>
      </c>
      <c r="E15" s="3" t="s">
        <v>192</v>
      </c>
      <c r="F15" s="3" t="s">
        <v>326</v>
      </c>
      <c r="G15" s="3" t="s">
        <v>327</v>
      </c>
      <c r="H15" s="3" t="s">
        <v>305</v>
      </c>
      <c r="I15" s="3"/>
      <c r="J15" s="3"/>
      <c r="K15" s="19"/>
      <c r="L15" s="3" t="s">
        <v>309</v>
      </c>
      <c r="M15" s="3" t="s">
        <v>323</v>
      </c>
    </row>
    <row r="16" spans="1:13" ht="14.25">
      <c r="A16" s="3" t="s">
        <v>334</v>
      </c>
      <c r="B16" s="3" t="s">
        <v>335</v>
      </c>
      <c r="C16" s="3" t="s">
        <v>145</v>
      </c>
      <c r="D16" s="3" t="s">
        <v>147</v>
      </c>
      <c r="E16" s="3" t="s">
        <v>148</v>
      </c>
      <c r="F16" s="3" t="s">
        <v>303</v>
      </c>
      <c r="G16" s="3" t="s">
        <v>150</v>
      </c>
      <c r="H16" s="3" t="s">
        <v>305</v>
      </c>
      <c r="I16" s="3"/>
      <c r="J16" s="3"/>
      <c r="K16" s="19"/>
      <c r="L16" s="3" t="s">
        <v>309</v>
      </c>
      <c r="M16" s="3" t="s">
        <v>311</v>
      </c>
    </row>
    <row r="17" spans="1:13" ht="14.25">
      <c r="A17" s="3" t="s">
        <v>336</v>
      </c>
      <c r="B17" s="3" t="s">
        <v>335</v>
      </c>
      <c r="C17" s="3" t="s">
        <v>145</v>
      </c>
      <c r="D17" s="3" t="s">
        <v>159</v>
      </c>
      <c r="E17" s="3" t="s">
        <v>148</v>
      </c>
      <c r="F17" s="3" t="s">
        <v>303</v>
      </c>
      <c r="G17" s="3" t="s">
        <v>161</v>
      </c>
      <c r="H17" s="3" t="s">
        <v>305</v>
      </c>
      <c r="I17" s="3"/>
      <c r="J17" s="3"/>
      <c r="K17" s="19"/>
      <c r="L17" s="3" t="s">
        <v>309</v>
      </c>
      <c r="M17" s="3" t="s">
        <v>311</v>
      </c>
    </row>
    <row r="18" spans="1:13" ht="14.25">
      <c r="A18" s="3" t="s">
        <v>337</v>
      </c>
      <c r="B18" s="3" t="s">
        <v>335</v>
      </c>
      <c r="C18" s="3" t="s">
        <v>169</v>
      </c>
      <c r="D18" s="3" t="s">
        <v>171</v>
      </c>
      <c r="E18" s="3" t="s">
        <v>148</v>
      </c>
      <c r="F18" s="3" t="s">
        <v>318</v>
      </c>
      <c r="G18" s="3" t="s">
        <v>172</v>
      </c>
      <c r="H18" s="3" t="s">
        <v>305</v>
      </c>
      <c r="I18" s="3"/>
      <c r="J18" s="3"/>
      <c r="K18" s="19"/>
      <c r="L18" s="3" t="s">
        <v>309</v>
      </c>
      <c r="M18" s="3" t="s">
        <v>311</v>
      </c>
    </row>
    <row r="19" spans="1:13" ht="14.25">
      <c r="A19" s="3" t="s">
        <v>338</v>
      </c>
      <c r="B19" s="3" t="s">
        <v>335</v>
      </c>
      <c r="C19" s="3" t="s">
        <v>180</v>
      </c>
      <c r="D19" s="3" t="s">
        <v>320</v>
      </c>
      <c r="E19" s="3" t="s">
        <v>183</v>
      </c>
      <c r="F19" s="3" t="s">
        <v>321</v>
      </c>
      <c r="G19" s="3" t="s">
        <v>322</v>
      </c>
      <c r="H19" s="3" t="s">
        <v>305</v>
      </c>
      <c r="I19" s="3"/>
      <c r="J19" s="3"/>
      <c r="K19" s="19"/>
      <c r="L19" s="3" t="s">
        <v>309</v>
      </c>
      <c r="M19" s="3" t="s">
        <v>323</v>
      </c>
    </row>
    <row r="20" spans="1:13" ht="14.25">
      <c r="A20" s="6" t="s">
        <v>339</v>
      </c>
      <c r="B20" s="6" t="s">
        <v>335</v>
      </c>
      <c r="C20" s="6" t="s">
        <v>190</v>
      </c>
      <c r="D20" s="6" t="s">
        <v>325</v>
      </c>
      <c r="E20" s="6" t="s">
        <v>192</v>
      </c>
      <c r="F20" s="6" t="s">
        <v>326</v>
      </c>
      <c r="G20" s="6" t="s">
        <v>327</v>
      </c>
      <c r="H20" s="6" t="s">
        <v>305</v>
      </c>
      <c r="I20" s="6"/>
      <c r="J20" s="6"/>
      <c r="K20" s="20"/>
      <c r="L20" s="6" t="s">
        <v>309</v>
      </c>
      <c r="M20" s="6" t="s">
        <v>323</v>
      </c>
    </row>
    <row r="21" spans="1:13" ht="15.75" customHeight="1"/>
    <row r="22" spans="1:13" ht="15.75" customHeight="1"/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M1"/>
    <mergeCell ref="A2:M2"/>
    <mergeCell ref="A4:M4"/>
  </mergeCells>
  <conditionalFormatting sqref="H6:H20">
    <cfRule type="containsText" dxfId="14" priority="1" operator="containsText" text="Passed">
      <formula>NOT(ISERROR(SEARCH(("Passed"),(H6))))</formula>
    </cfRule>
    <cfRule type="containsText" dxfId="13" priority="2" operator="containsText" text="Failed">
      <formula>NOT(ISERROR(SEARCH(("Failed"),(H6))))</formula>
    </cfRule>
    <cfRule type="containsText" dxfId="12" priority="3" operator="containsText" text="Not Run">
      <formula>NOT(ISERROR(SEARCH(("Not Run"),(H6))))</formula>
    </cfRule>
  </conditionalFormatting>
  <dataValidations count="1">
    <dataValidation type="list" allowBlank="1" sqref="H6:H20" xr:uid="{00000000-0002-0000-0700-000000000000}">
      <formula1>"Not Run,Passed,Failed"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1000"/>
  <sheetViews>
    <sheetView showGridLines="0" workbookViewId="0">
      <selection sqref="A1:M1"/>
    </sheetView>
  </sheetViews>
  <sheetFormatPr defaultColWidth="12.625" defaultRowHeight="15" customHeight="1"/>
  <cols>
    <col min="1" max="1" width="14" customWidth="1"/>
    <col min="2" max="2" width="55" customWidth="1"/>
    <col min="3" max="3" width="30" customWidth="1"/>
    <col min="4" max="4" width="22" customWidth="1"/>
    <col min="5" max="5" width="32" customWidth="1"/>
    <col min="6" max="6" width="14" customWidth="1"/>
    <col min="7" max="7" width="16" customWidth="1"/>
    <col min="8" max="8" width="22" customWidth="1"/>
    <col min="9" max="9" width="18" customWidth="1"/>
    <col min="10" max="10" width="22" customWidth="1"/>
    <col min="11" max="11" width="28" customWidth="1"/>
    <col min="12" max="12" width="55" customWidth="1"/>
    <col min="13" max="13" width="20" customWidth="1"/>
    <col min="14" max="26" width="8.625" customWidth="1"/>
  </cols>
  <sheetData>
    <row r="1" spans="1:13" ht="33.75" customHeight="1">
      <c r="A1" s="28" t="s">
        <v>293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3" ht="31.5" customHeight="1">
      <c r="A2" s="29" t="s">
        <v>296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5" spans="1:13" ht="30" customHeight="1">
      <c r="A5" s="1" t="s">
        <v>299</v>
      </c>
      <c r="B5" s="1" t="s">
        <v>301</v>
      </c>
      <c r="C5" s="1" t="s">
        <v>302</v>
      </c>
      <c r="D5" s="1" t="s">
        <v>304</v>
      </c>
      <c r="E5" s="1" t="s">
        <v>306</v>
      </c>
      <c r="F5" s="1" t="s">
        <v>307</v>
      </c>
      <c r="G5" s="1" t="s">
        <v>308</v>
      </c>
      <c r="H5" s="1" t="s">
        <v>310</v>
      </c>
      <c r="I5" s="1" t="s">
        <v>312</v>
      </c>
      <c r="J5" s="1" t="s">
        <v>314</v>
      </c>
      <c r="K5" s="1" t="s">
        <v>315</v>
      </c>
      <c r="L5" s="1" t="s">
        <v>316</v>
      </c>
      <c r="M5" s="1" t="s">
        <v>22</v>
      </c>
    </row>
    <row r="6" spans="1:13" ht="14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4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ht="14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ht="14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ht="14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ht="14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ht="14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 ht="14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13" ht="14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3" ht="14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 ht="14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ht="14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ht="14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ht="14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13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13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13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13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13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13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13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3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3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/>
    <row r="41" spans="1:13" ht="15.75" customHeight="1"/>
    <row r="42" spans="1:13" ht="15.75" customHeight="1"/>
    <row r="43" spans="1:13" ht="15.75" customHeight="1"/>
    <row r="44" spans="1:13" ht="15.75" customHeight="1"/>
    <row r="45" spans="1:13" ht="15.75" customHeight="1"/>
    <row r="46" spans="1:13" ht="15.75" customHeight="1"/>
    <row r="47" spans="1:13" ht="15.75" customHeight="1"/>
    <row r="48" spans="1:1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M1"/>
    <mergeCell ref="A2:M2"/>
  </mergeCells>
  <conditionalFormatting sqref="F6:F35">
    <cfRule type="cellIs" dxfId="11" priority="1" operator="equal">
      <formula>4</formula>
    </cfRule>
    <cfRule type="cellIs" dxfId="10" priority="2" operator="equal">
      <formula>3</formula>
    </cfRule>
    <cfRule type="cellIs" dxfId="9" priority="3" operator="equal">
      <formula>2</formula>
    </cfRule>
    <cfRule type="cellIs" dxfId="8" priority="4" operator="equal">
      <formula>1</formula>
    </cfRule>
    <cfRule type="cellIs" dxfId="7" priority="5" operator="equal">
      <formula>0</formula>
    </cfRule>
  </conditionalFormatting>
  <dataValidations count="3">
    <dataValidation type="decimal" allowBlank="1" sqref="F6:F35" xr:uid="{00000000-0002-0000-0800-000000000000}">
      <formula1>0</formula1>
      <formula2>4</formula2>
    </dataValidation>
    <dataValidation type="list" allowBlank="1" sqref="M6:M35" xr:uid="{00000000-0002-0000-0800-000001000000}">
      <formula1>"Open,Reviewed,Submitted to Form,Fixed / Retested"</formula1>
    </dataValidation>
    <dataValidation type="list" allowBlank="1" sqref="J6:J35" xr:uid="{00000000-0002-0000-0800-000002000000}">
      <formula1>"Usability,Bug,Systemic Design Issue"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0"/>
  <sheetViews>
    <sheetView showGridLines="0" workbookViewId="0">
      <selection sqref="A1:O1"/>
    </sheetView>
  </sheetViews>
  <sheetFormatPr defaultColWidth="12.625" defaultRowHeight="15" customHeight="1"/>
  <cols>
    <col min="1" max="1" width="12" customWidth="1"/>
    <col min="2" max="2" width="28" customWidth="1"/>
    <col min="3" max="3" width="14" customWidth="1"/>
    <col min="4" max="5" width="55" customWidth="1"/>
    <col min="6" max="7" width="40" customWidth="1"/>
    <col min="8" max="8" width="12" customWidth="1"/>
    <col min="9" max="9" width="50" customWidth="1"/>
    <col min="10" max="10" width="30" customWidth="1"/>
    <col min="11" max="11" width="16" customWidth="1"/>
    <col min="12" max="12" width="24" customWidth="1"/>
    <col min="13" max="14" width="30" customWidth="1"/>
    <col min="15" max="15" width="22" customWidth="1"/>
    <col min="16" max="26" width="8.625" customWidth="1"/>
  </cols>
  <sheetData>
    <row r="1" spans="1:15" ht="33.75" customHeight="1">
      <c r="A1" s="28" t="s">
        <v>340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31.5" customHeight="1">
      <c r="A2" s="29" t="s">
        <v>341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4" spans="1:15">
      <c r="A4" s="37" t="s">
        <v>342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15" ht="30" customHeight="1">
      <c r="A5" s="1" t="s">
        <v>20</v>
      </c>
      <c r="B5" s="1" t="s">
        <v>343</v>
      </c>
      <c r="C5" s="1" t="s">
        <v>314</v>
      </c>
      <c r="D5" s="1" t="s">
        <v>344</v>
      </c>
      <c r="E5" s="1" t="s">
        <v>345</v>
      </c>
      <c r="F5" s="1" t="s">
        <v>346</v>
      </c>
      <c r="G5" s="1" t="s">
        <v>347</v>
      </c>
      <c r="H5" s="1" t="s">
        <v>348</v>
      </c>
      <c r="I5" s="1" t="s">
        <v>349</v>
      </c>
      <c r="J5" s="1" t="s">
        <v>291</v>
      </c>
      <c r="K5" s="1" t="s">
        <v>350</v>
      </c>
      <c r="L5" s="1" t="s">
        <v>351</v>
      </c>
      <c r="M5" s="1" t="s">
        <v>352</v>
      </c>
      <c r="N5" s="1" t="s">
        <v>353</v>
      </c>
      <c r="O5" s="1" t="s">
        <v>22</v>
      </c>
    </row>
    <row r="6" spans="1:15" ht="14.25">
      <c r="A6" s="2"/>
      <c r="B6" s="2"/>
      <c r="C6" s="2"/>
      <c r="D6" s="2"/>
      <c r="E6" s="2"/>
      <c r="F6" s="2"/>
      <c r="G6" s="2"/>
      <c r="H6" s="2"/>
      <c r="I6" s="2"/>
      <c r="J6" s="2"/>
      <c r="K6" s="2" t="s">
        <v>175</v>
      </c>
      <c r="L6" s="21"/>
      <c r="M6" s="2"/>
      <c r="N6" s="2"/>
      <c r="O6" s="2"/>
    </row>
    <row r="7" spans="1:15" ht="14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22"/>
      <c r="M7" s="3"/>
      <c r="N7" s="3"/>
      <c r="O7" s="3"/>
    </row>
    <row r="8" spans="1:15" ht="14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22"/>
      <c r="M8" s="3"/>
      <c r="N8" s="3"/>
      <c r="O8" s="3"/>
    </row>
    <row r="9" spans="1:15" ht="14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22"/>
      <c r="M9" s="3"/>
      <c r="N9" s="3"/>
      <c r="O9" s="3"/>
    </row>
    <row r="10" spans="1:15" ht="14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22"/>
      <c r="M10" s="3"/>
      <c r="N10" s="3"/>
      <c r="O10" s="3"/>
    </row>
    <row r="11" spans="1:15" ht="14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22"/>
      <c r="M11" s="3"/>
      <c r="N11" s="3"/>
      <c r="O11" s="3"/>
    </row>
    <row r="12" spans="1:15" ht="14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22"/>
      <c r="M12" s="3"/>
      <c r="N12" s="3"/>
      <c r="O12" s="3"/>
    </row>
    <row r="13" spans="1:15" ht="14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22"/>
      <c r="M13" s="3"/>
      <c r="N13" s="3"/>
      <c r="O13" s="3"/>
    </row>
    <row r="14" spans="1:15" ht="14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22"/>
      <c r="M14" s="3"/>
      <c r="N14" s="3"/>
      <c r="O14" s="3"/>
    </row>
    <row r="15" spans="1:15" ht="14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22"/>
      <c r="M15" s="3"/>
      <c r="N15" s="3"/>
      <c r="O15" s="3"/>
    </row>
    <row r="16" spans="1:15" ht="14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22"/>
      <c r="M16" s="3"/>
      <c r="N16" s="3"/>
      <c r="O16" s="3"/>
    </row>
    <row r="17" spans="1:15" ht="14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22"/>
      <c r="M17" s="3"/>
      <c r="N17" s="3"/>
      <c r="O17" s="3"/>
    </row>
    <row r="18" spans="1:15" ht="14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22"/>
      <c r="M18" s="3"/>
      <c r="N18" s="3"/>
      <c r="O18" s="3"/>
    </row>
    <row r="19" spans="1:15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22"/>
      <c r="M19" s="3"/>
      <c r="N19" s="3"/>
      <c r="O19" s="3"/>
    </row>
    <row r="20" spans="1:15" ht="14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22"/>
      <c r="M20" s="3"/>
      <c r="N20" s="3"/>
      <c r="O20" s="3"/>
    </row>
    <row r="21" spans="1:15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22"/>
      <c r="M21" s="3"/>
      <c r="N21" s="3"/>
      <c r="O21" s="3"/>
    </row>
    <row r="22" spans="1:15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22"/>
      <c r="M22" s="3"/>
      <c r="N22" s="3"/>
      <c r="O22" s="3"/>
    </row>
    <row r="23" spans="1:15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22"/>
      <c r="M23" s="3"/>
      <c r="N23" s="3"/>
      <c r="O23" s="3"/>
    </row>
    <row r="24" spans="1:15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22"/>
      <c r="M24" s="3"/>
      <c r="N24" s="3"/>
      <c r="O24" s="3"/>
    </row>
    <row r="25" spans="1:1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22"/>
      <c r="M25" s="3"/>
      <c r="N25" s="3"/>
      <c r="O25" s="3"/>
    </row>
    <row r="26" spans="1:15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22"/>
      <c r="M26" s="3"/>
      <c r="N26" s="3"/>
      <c r="O26" s="3"/>
    </row>
    <row r="27" spans="1:15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22"/>
      <c r="M27" s="3"/>
      <c r="N27" s="3"/>
      <c r="O27" s="3"/>
    </row>
    <row r="28" spans="1:15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22"/>
      <c r="M28" s="3"/>
      <c r="N28" s="3"/>
      <c r="O28" s="3"/>
    </row>
    <row r="29" spans="1:15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22"/>
      <c r="M29" s="3"/>
      <c r="N29" s="3"/>
      <c r="O29" s="3"/>
    </row>
    <row r="30" spans="1:15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22"/>
      <c r="M30" s="3"/>
      <c r="N30" s="3"/>
      <c r="O30" s="3"/>
    </row>
    <row r="31" spans="1:15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22"/>
      <c r="M31" s="3"/>
      <c r="N31" s="3"/>
      <c r="O31" s="3"/>
    </row>
    <row r="32" spans="1:15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22"/>
      <c r="M32" s="3"/>
      <c r="N32" s="3"/>
      <c r="O32" s="3"/>
    </row>
    <row r="33" spans="1:15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22"/>
      <c r="M33" s="3"/>
      <c r="N33" s="3"/>
      <c r="O33" s="3"/>
    </row>
    <row r="34" spans="1:15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22"/>
      <c r="M34" s="3"/>
      <c r="N34" s="3"/>
      <c r="O34" s="3"/>
    </row>
    <row r="35" spans="1:1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22"/>
      <c r="M35" s="3"/>
      <c r="N35" s="3"/>
      <c r="O35" s="3"/>
    </row>
    <row r="36" spans="1:15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22"/>
      <c r="M36" s="3"/>
      <c r="N36" s="3"/>
      <c r="O36" s="3"/>
    </row>
    <row r="37" spans="1:15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22"/>
      <c r="M37" s="3"/>
      <c r="N37" s="3"/>
      <c r="O37" s="3"/>
    </row>
    <row r="38" spans="1:15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22"/>
      <c r="M38" s="3"/>
      <c r="N38" s="3"/>
      <c r="O38" s="3"/>
    </row>
    <row r="39" spans="1:15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22"/>
      <c r="M39" s="3"/>
      <c r="N39" s="3"/>
      <c r="O39" s="3"/>
    </row>
    <row r="40" spans="1:15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22"/>
      <c r="M40" s="3"/>
      <c r="N40" s="3"/>
      <c r="O40" s="3"/>
    </row>
    <row r="41" spans="1:15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22"/>
      <c r="M41" s="3"/>
      <c r="N41" s="3"/>
      <c r="O41" s="3"/>
    </row>
    <row r="42" spans="1:15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22"/>
      <c r="M42" s="3"/>
      <c r="N42" s="3"/>
      <c r="O42" s="3"/>
    </row>
    <row r="43" spans="1:15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22"/>
      <c r="M43" s="3"/>
      <c r="N43" s="3"/>
      <c r="O43" s="3"/>
    </row>
    <row r="44" spans="1:15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22"/>
      <c r="M44" s="3"/>
      <c r="N44" s="3"/>
      <c r="O44" s="3"/>
    </row>
    <row r="45" spans="1:1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22"/>
      <c r="M45" s="3"/>
      <c r="N45" s="3"/>
      <c r="O45" s="3"/>
    </row>
    <row r="46" spans="1:15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22"/>
      <c r="M46" s="3"/>
      <c r="N46" s="3"/>
      <c r="O46" s="3"/>
    </row>
    <row r="47" spans="1:15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22"/>
      <c r="M47" s="3"/>
      <c r="N47" s="3"/>
      <c r="O47" s="3"/>
    </row>
    <row r="48" spans="1:15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22"/>
      <c r="M48" s="3"/>
      <c r="N48" s="3"/>
      <c r="O48" s="3"/>
    </row>
    <row r="49" spans="1:15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22"/>
      <c r="M49" s="3"/>
      <c r="N49" s="3"/>
      <c r="O49" s="3"/>
    </row>
    <row r="50" spans="1:15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22"/>
      <c r="M50" s="3"/>
      <c r="N50" s="3"/>
      <c r="O50" s="3"/>
    </row>
    <row r="51" spans="1:15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22"/>
      <c r="M51" s="3"/>
      <c r="N51" s="3"/>
      <c r="O51" s="3"/>
    </row>
    <row r="52" spans="1:15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22"/>
      <c r="M52" s="3"/>
      <c r="N52" s="3"/>
      <c r="O52" s="3"/>
    </row>
    <row r="53" spans="1:15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22"/>
      <c r="M53" s="3"/>
      <c r="N53" s="3"/>
      <c r="O53" s="3"/>
    </row>
    <row r="54" spans="1:15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22"/>
      <c r="M54" s="3"/>
      <c r="N54" s="3"/>
      <c r="O54" s="3"/>
    </row>
    <row r="55" spans="1:1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23"/>
      <c r="M55" s="6"/>
      <c r="N55" s="6"/>
      <c r="O55" s="6"/>
    </row>
    <row r="56" spans="1:15" ht="15.75" customHeight="1"/>
    <row r="57" spans="1:15" ht="15.75" customHeight="1"/>
    <row r="58" spans="1:15" ht="15.75" customHeight="1"/>
    <row r="59" spans="1:15" ht="15.75" customHeight="1"/>
    <row r="60" spans="1:15" ht="15.75" customHeight="1"/>
    <row r="61" spans="1:15" ht="15.75" customHeight="1"/>
    <row r="62" spans="1:15" ht="15.75" customHeight="1"/>
    <row r="63" spans="1:15" ht="15.75" customHeight="1"/>
    <row r="64" spans="1:15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4:O4"/>
  </mergeCells>
  <conditionalFormatting sqref="H6:H55">
    <cfRule type="cellIs" dxfId="6" priority="1" operator="equal">
      <formula>4</formula>
    </cfRule>
    <cfRule type="cellIs" dxfId="5" priority="2" operator="equal">
      <formula>3</formula>
    </cfRule>
    <cfRule type="cellIs" dxfId="4" priority="3" operator="equal">
      <formula>2</formula>
    </cfRule>
    <cfRule type="cellIs" dxfId="3" priority="4" operator="equal">
      <formula>1</formula>
    </cfRule>
    <cfRule type="cellIs" dxfId="2" priority="5" operator="equal">
      <formula>0</formula>
    </cfRule>
  </conditionalFormatting>
  <dataValidations count="4">
    <dataValidation type="decimal" allowBlank="1" sqref="H6:H55" xr:uid="{00000000-0002-0000-0900-000000000000}">
      <formula1>0</formula1>
      <formula2>4</formula2>
    </dataValidation>
    <dataValidation type="list" allowBlank="1" sqref="C6:C55" xr:uid="{00000000-0002-0000-0900-000001000000}">
      <formula1>"Bug,Usability"</formula1>
    </dataValidation>
    <dataValidation type="list" allowBlank="1" sqref="O6:O55" xr:uid="{00000000-0002-0000-0900-000002000000}">
      <formula1>"Draft,Evidence Verified,Submitted to Form,Retested / Closed"</formula1>
    </dataValidation>
    <dataValidation type="list" allowBlank="1" sqref="K6:K55" xr:uid="{00000000-0002-0000-0900-000003000000}">
      <formula1>"Task 1B,Task 2,Task 3,Multiple Tasks"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000"/>
  <sheetViews>
    <sheetView showGridLines="0" tabSelected="1" workbookViewId="0">
      <selection sqref="A1:E1"/>
    </sheetView>
  </sheetViews>
  <sheetFormatPr defaultColWidth="12.625" defaultRowHeight="15" customHeight="1"/>
  <cols>
    <col min="1" max="1" width="28" customWidth="1"/>
    <col min="2" max="2" width="70" customWidth="1"/>
    <col min="3" max="3" width="45" customWidth="1"/>
    <col min="4" max="5" width="18" customWidth="1"/>
    <col min="6" max="26" width="8.625" customWidth="1"/>
  </cols>
  <sheetData>
    <row r="1" spans="1:5" ht="33.75" customHeight="1">
      <c r="A1" s="28" t="s">
        <v>354</v>
      </c>
      <c r="B1" s="27"/>
      <c r="C1" s="27"/>
      <c r="D1" s="27"/>
      <c r="E1" s="27"/>
    </row>
    <row r="2" spans="1:5" ht="31.5" customHeight="1">
      <c r="A2" s="29" t="s">
        <v>355</v>
      </c>
      <c r="B2" s="27"/>
      <c r="C2" s="27"/>
      <c r="D2" s="27"/>
      <c r="E2" s="27"/>
    </row>
    <row r="5" spans="1:5" ht="30" customHeight="1">
      <c r="A5" s="1" t="s">
        <v>356</v>
      </c>
      <c r="B5" s="1" t="s">
        <v>357</v>
      </c>
      <c r="C5" s="1" t="s">
        <v>358</v>
      </c>
      <c r="D5" s="1" t="s">
        <v>359</v>
      </c>
      <c r="E5" s="1" t="s">
        <v>360</v>
      </c>
    </row>
    <row r="6" spans="1:5" ht="14.25">
      <c r="A6" s="2" t="s">
        <v>361</v>
      </c>
      <c r="B6" s="2" t="s">
        <v>362</v>
      </c>
      <c r="C6" s="2" t="s">
        <v>363</v>
      </c>
      <c r="D6" s="2" t="s">
        <v>168</v>
      </c>
      <c r="E6" s="2"/>
    </row>
    <row r="7" spans="1:5" ht="14.25">
      <c r="A7" s="3" t="s">
        <v>364</v>
      </c>
      <c r="B7" s="3" t="s">
        <v>365</v>
      </c>
      <c r="C7" s="3" t="s">
        <v>366</v>
      </c>
      <c r="D7" s="3" t="s">
        <v>168</v>
      </c>
      <c r="E7" s="3"/>
    </row>
    <row r="8" spans="1:5" ht="14.25">
      <c r="A8" s="3" t="s">
        <v>367</v>
      </c>
      <c r="B8" s="3" t="s">
        <v>368</v>
      </c>
      <c r="C8" s="3" t="s">
        <v>369</v>
      </c>
      <c r="D8" s="3" t="s">
        <v>157</v>
      </c>
      <c r="E8" s="3"/>
    </row>
    <row r="9" spans="1:5" ht="14.25">
      <c r="A9" s="3" t="s">
        <v>370</v>
      </c>
      <c r="B9" s="3" t="s">
        <v>371</v>
      </c>
      <c r="C9" s="3" t="s">
        <v>372</v>
      </c>
      <c r="D9" s="3" t="s">
        <v>168</v>
      </c>
      <c r="E9" s="3"/>
    </row>
    <row r="10" spans="1:5" ht="14.25">
      <c r="A10" s="3" t="s">
        <v>373</v>
      </c>
      <c r="B10" s="3" t="s">
        <v>374</v>
      </c>
      <c r="C10" s="3" t="s">
        <v>375</v>
      </c>
      <c r="D10" s="3" t="s">
        <v>168</v>
      </c>
      <c r="E10" s="3"/>
    </row>
    <row r="11" spans="1:5" ht="14.25">
      <c r="A11" s="3" t="s">
        <v>376</v>
      </c>
      <c r="B11" s="3" t="s">
        <v>377</v>
      </c>
      <c r="C11" s="3" t="s">
        <v>378</v>
      </c>
      <c r="D11" s="3" t="s">
        <v>168</v>
      </c>
      <c r="E11" s="3"/>
    </row>
    <row r="12" spans="1:5" ht="14.25">
      <c r="A12" s="3" t="s">
        <v>379</v>
      </c>
      <c r="B12" s="3" t="s">
        <v>380</v>
      </c>
      <c r="C12" s="3" t="s">
        <v>381</v>
      </c>
      <c r="D12" s="3" t="s">
        <v>168</v>
      </c>
      <c r="E12" s="3"/>
    </row>
    <row r="13" spans="1:5" ht="14.25">
      <c r="A13" s="3" t="s">
        <v>382</v>
      </c>
      <c r="B13" s="3" t="s">
        <v>383</v>
      </c>
      <c r="C13" s="3" t="s">
        <v>384</v>
      </c>
      <c r="D13" s="3" t="s">
        <v>168</v>
      </c>
      <c r="E13" s="3"/>
    </row>
    <row r="14" spans="1:5" ht="14.25">
      <c r="A14" s="3" t="s">
        <v>385</v>
      </c>
      <c r="B14" s="3" t="s">
        <v>386</v>
      </c>
      <c r="C14" s="3" t="s">
        <v>387</v>
      </c>
      <c r="D14" s="3" t="s">
        <v>168</v>
      </c>
      <c r="E14" s="3"/>
    </row>
    <row r="15" spans="1:5" ht="14.25">
      <c r="A15" s="3" t="s">
        <v>388</v>
      </c>
      <c r="B15" s="3" t="s">
        <v>389</v>
      </c>
      <c r="C15" s="3" t="s">
        <v>197</v>
      </c>
      <c r="D15" s="3" t="s">
        <v>168</v>
      </c>
      <c r="E15" s="3"/>
    </row>
    <row r="16" spans="1:5" ht="14.25">
      <c r="A16" s="3" t="s">
        <v>390</v>
      </c>
      <c r="B16" s="3" t="s">
        <v>391</v>
      </c>
      <c r="C16" s="3" t="s">
        <v>392</v>
      </c>
      <c r="D16" s="3" t="s">
        <v>168</v>
      </c>
      <c r="E16" s="3"/>
    </row>
    <row r="17" spans="1:5" ht="14.25">
      <c r="A17" s="3" t="s">
        <v>393</v>
      </c>
      <c r="B17" s="3" t="s">
        <v>394</v>
      </c>
      <c r="C17" s="3" t="s">
        <v>395</v>
      </c>
      <c r="D17" s="3" t="s">
        <v>168</v>
      </c>
      <c r="E17" s="3"/>
    </row>
    <row r="18" spans="1:5" ht="14.25">
      <c r="A18" s="3" t="s">
        <v>396</v>
      </c>
      <c r="B18" s="3" t="s">
        <v>397</v>
      </c>
      <c r="C18" s="3" t="s">
        <v>398</v>
      </c>
      <c r="D18" s="3" t="s">
        <v>168</v>
      </c>
      <c r="E18" s="3"/>
    </row>
    <row r="19" spans="1:5" ht="14.25">
      <c r="A19" s="3" t="s">
        <v>399</v>
      </c>
      <c r="B19" s="3" t="s">
        <v>400</v>
      </c>
      <c r="C19" s="3" t="s">
        <v>401</v>
      </c>
      <c r="D19" s="3" t="s">
        <v>168</v>
      </c>
      <c r="E19" s="3"/>
    </row>
    <row r="20" spans="1:5" ht="14.25">
      <c r="A20" s="6" t="s">
        <v>402</v>
      </c>
      <c r="B20" s="6" t="s">
        <v>403</v>
      </c>
      <c r="C20" s="6" t="s">
        <v>404</v>
      </c>
      <c r="D20" s="6" t="s">
        <v>168</v>
      </c>
      <c r="E20" s="6"/>
    </row>
    <row r="21" spans="1:5" ht="15.75" customHeight="1"/>
    <row r="22" spans="1:5" ht="15.75" customHeight="1"/>
    <row r="23" spans="1:5" ht="15.75" customHeight="1"/>
    <row r="24" spans="1:5" ht="15.75" customHeight="1"/>
    <row r="25" spans="1:5" ht="15.75" customHeight="1"/>
    <row r="26" spans="1:5" ht="15.75" customHeight="1"/>
    <row r="27" spans="1:5" ht="15.75" customHeight="1"/>
    <row r="28" spans="1:5" ht="15.75" customHeight="1"/>
    <row r="29" spans="1:5" ht="15.75" customHeight="1"/>
    <row r="30" spans="1:5" ht="15.75" customHeight="1"/>
    <row r="31" spans="1:5" ht="15.75" customHeight="1"/>
    <row r="32" spans="1: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E1"/>
    <mergeCell ref="A2:E2"/>
  </mergeCells>
  <conditionalFormatting sqref="E6:E20">
    <cfRule type="containsText" dxfId="1" priority="1" operator="containsText" text="Done">
      <formula>NOT(ISERROR(SEARCH(("Done"),(E6))))</formula>
    </cfRule>
    <cfRule type="containsText" dxfId="0" priority="2" operator="containsText" text="Blocked">
      <formula>NOT(ISERROR(SEARCH(("Blocked"),(E6))))</formula>
    </cfRule>
  </conditionalFormatting>
  <dataValidations count="1">
    <dataValidation type="list" allowBlank="1" sqref="E6:E20" xr:uid="{00000000-0002-0000-0A00-000000000000}">
      <formula1>"Not Started,In Progress,Done,Blocked"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 Me</vt:lpstr>
      <vt:lpstr>Sources</vt:lpstr>
      <vt:lpstr>AI Prompts</vt:lpstr>
      <vt:lpstr>Execution</vt:lpstr>
      <vt:lpstr>User Testing</vt:lpstr>
      <vt:lpstr>SUS</vt:lpstr>
      <vt:lpstr>Compatibility</vt:lpstr>
      <vt:lpstr>Usability Findings</vt:lpstr>
      <vt:lpstr>Findings Log</vt:lpstr>
      <vt:lpstr>Report Outline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ĐINH HOÀNG NAM</cp:lastModifiedBy>
  <dcterms:modified xsi:type="dcterms:W3CDTF">2026-08-01T10:56:17Z</dcterms:modified>
</cp:coreProperties>
</file>