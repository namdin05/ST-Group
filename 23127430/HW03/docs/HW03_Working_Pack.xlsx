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92f2b5116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c45f98df59545f1"/>
    <x:sheet xmlns:r="http://schemas.openxmlformats.org/officeDocument/2006/relationships" name="Sources" sheetId="3" r:id="R2dbf8ab7442c46c6"/>
    <x:sheet xmlns:r="http://schemas.openxmlformats.org/officeDocument/2006/relationships" name="AI Prompts" sheetId="4" r:id="R600d1b35d8b140c8"/>
    <x:sheet xmlns:r="http://schemas.openxmlformats.org/officeDocument/2006/relationships" name="Execution" sheetId="5" r:id="R4aaa9432699a4177"/>
    <x:sheet xmlns:r="http://schemas.openxmlformats.org/officeDocument/2006/relationships" name="User Testing" sheetId="6" r:id="R4c99482899884ad1"/>
    <x:sheet xmlns:r="http://schemas.openxmlformats.org/officeDocument/2006/relationships" name="SUS" sheetId="7" r:id="R5ac4451bce1c4ea3"/>
    <x:sheet xmlns:r="http://schemas.openxmlformats.org/officeDocument/2006/relationships" name="Compatibility" sheetId="8" r:id="Rb22342f5acce45d3"/>
    <x:sheet xmlns:r="http://schemas.openxmlformats.org/officeDocument/2006/relationships" name="Usability Findings" sheetId="9" r:id="R18888fbf6bb94849"/>
    <x:sheet xmlns:r="http://schemas.openxmlformats.org/officeDocument/2006/relationships" name="Findings Log" sheetId="10" r:id="R1a862a633dc14f80"/>
    <x:sheet xmlns:r="http://schemas.openxmlformats.org/officeDocument/2006/relationships" name="Report Outline" sheetId="11" r:id="R39751b298ced4de5"/>
    <x:sheet xmlns:r="http://schemas.openxmlformats.org/officeDocument/2006/relationships" name="Master Checklist" sheetId="12" r:id="R78669d21cc2b4e3f"/>
  </x:sheets>
</x:workbook>
</file>

<file path=xl/sharedStrings.xml><?xml version="1.0" encoding="utf-8"?>
<x:sst xmlns:x="http://schemas.openxmlformats.org/spreadsheetml/2006/main">
  <x:si>
    <x:t xml:space="preserve">HW03 - GUI &amp; Usability Testing on EMS | Working Pack</x:t>
  </x:si>
  <x:si>
    <x:t xml:space="preserve">ACADEMIC INTEGRITY GATE - Do not fabricate participants, contacts, raw session data, screenshots, compatibility results, timestamps, or Google Form confirmations.</x:t>
  </x:si>
  <x:si>
    <x:t xml:space="preserve">Step</x:t>
  </x:si>
  <x:si>
    <x:t xml:space="preserve">Group workflow</x:t>
  </x:si>
  <x:si>
    <x:t xml:space="preserve">Live completion dashboard</x:t>
  </x:si>
  <x:si>
    <x:t xml:space="preserve">1</x:t>
  </x:si>
  <x:si>
    <x:t xml:space="preserve">Confirm 3-4 members; assign one scenario A-D to each member and at least three screens.</x:t>
  </x:si>
  <x:si>
    <x:t xml:space="preserve">Checklist items</x:t>
  </x:si>
  <x:si>
    <x:t xml:space="preserve">Human additions</x:t>
  </x:si>
  <x:si>
    <x:t xml:space="preserve">Execution fails</x:t>
  </x:si>
  <x:si>
    <x:t xml:space="preserve">Incomplete execution cells</x:t>
  </x:si>
  <x:si>
    <x:t xml:space="preserve">Mean SUS</x:t>
  </x:si>
  <x:si>
    <x:t xml:space="preserve">Compatibility cells run</x:t>
  </x:si>
  <x:si>
    <x:t xml:space="preserve">Findings logged</x:t>
  </x:si>
  <x:si>
    <x:t xml:space="preserve">2</x:t>
  </x:si>
  <x:si>
    <x:t xml:space="preserve">3</x:t>
  </x:si>
  <x:si>
    <x:t xml:space="preserve">Freeze the final shared checklist. Copy the same workbook to every member before individual execution.</x:t>
  </x:si>
  <x:si>
    <x:t xml:space="preserve">4</x:t>
  </x:si>
  <x:si>
    <x:t xml:space="preserve">Each member updates Screen 1-3 names and runs every nonblank checklist item as Passed or Failed. Attach screenshots only for Failed items.</x:t>
  </x:si>
  <x:si>
    <x:t xml:space="preserve">Critical final checks</x:t>
  </x:si>
  <x:si>
    <x:t xml:space="preserve">5</x:t>
  </x:si>
  <x:si>
    <x:t xml:space="preserve">Run one pilot plus five real-user sessions. Keep raw identifiable contacts outside AI tools; store only masked contacts here.</x:t>
  </x:si>
  <x:si>
    <x:t xml:space="preserve">All final checklist statuses are Passed/Failed; no blank or Not Run.</x:t>
  </x:si>
  <x:si>
    <x:t xml:space="preserve">6</x:t>
  </x:si>
  <x:si>
    <x:t xml:space="preserve">Execute the five compatibility configurations for every screen and capture one screenshot for every cell.</x:t>
  </x:si>
  <x:si>
    <x:t xml:space="preserve">Five real participants are outside the class; masked contacts can be verified by the TA.</x:t>
  </x:si>
  <x:si>
    <x:t xml:space="preserve">7</x:t>
  </x:si>
  <x:si>
    <x:t xml:space="preserve">Log every finding twice: Google Form and Findings Log. Counts, IDs, screenshots, and timestamps must match.</x:t>
  </x:si>
  <x:si>
    <x:t xml:space="preserve">Every compatibility screenshot shows MSSV email, EMS URL, browser, OS, and device identity.</x:t>
  </x:si>
  <x:si>
    <x:t xml:space="preserve">Recommended minimal compatibility set - repeat all five cells for every owned screen</x:t>
  </x:si>
  <x:si>
    <x:t xml:space="preserve">OS</x:t>
  </x:si>
  <x:si>
    <x:t xml:space="preserve">Browser</x:t>
  </x:si>
  <x:si>
    <x:t xml:space="preserve">Device class</x:t>
  </x:si>
  <x:si>
    <x:t xml:space="preserve">Example target</x:t>
  </x:si>
  <x:si>
    <x:t xml:space="preserve">Purpose</x:t>
  </x:si>
  <x:si>
    <x:t xml:space="preserve">Authoritative rule</x:t>
  </x:si>
  <x:si>
    <x:t xml:space="preserve">What it means</x:t>
  </x:si>
  <x:si>
    <x:t xml:space="preserve">Workbook location</x:t>
  </x:si>
  <x:si>
    <x:t xml:space="preserve">Final gate</x:t>
  </x:si>
  <x:si>
    <x:t xml:space="preserve">Task 1A</x:t>
  </x:si>
  <x:si>
    <x:t xml:space="preserve">&gt;40 items across IA-01..IA-04 + sources + AI prompts</x:t>
  </x:si>
  <x:si>
    <x:t xml:space="preserve">Master Checklist / Sources / AI Prompts</x:t>
  </x:si>
  <x:si>
    <x:t xml:space="preserve">Group</x:t>
  </x:si>
  <x:si>
    <x:t xml:space="preserve">Task 1B</x:t>
  </x:si>
  <x:si>
    <x:t xml:space="preserve">Every nonblank item is Passed or Failed per screen</x:t>
  </x:si>
  <x:si>
    <x:t xml:space="preserve">Execution</x:t>
  </x:si>
  <x:si>
    <x:t xml:space="preserve">Individual</x:t>
  </x:si>
  <x:si>
    <x:t xml:space="preserve">Task 2</x:t>
  </x:si>
  <x:si>
    <x:t xml:space="preserve">Pilot + five real users + SUS + ranked findings</x:t>
  </x:si>
  <x:si>
    <x:t xml:space="preserve">User Testing / SUS / Usability Findings</x:t>
  </x:si>
  <x:si>
    <x:t xml:space="preserve">Task 3</x:t>
  </x:si>
  <x:si>
    <x:t xml:space="preserve">Each screen covers 3 OS, 5 browsers, 3 device classes</x:t>
  </x:si>
  <x:si>
    <x:t xml:space="preserve">Compatibility</x:t>
  </x:si>
  <x:si>
    <x:t xml:space="preserve">Section 7</x:t>
  </x:si>
  <x:si>
    <x:t xml:space="preserve">Every finding appears in Form and aggregated log</x:t>
  </x:si>
  <x:si>
    <x:t xml:space="preserve">Findings Log</x:t>
  </x:si>
  <x:si>
    <x:t xml:space="preserve">Reference Sources</x:t>
  </x:si>
  <x:si>
    <x:t xml:space="preserve">Use primary/authoritative sources where possible. Verify URLs before final submission.</x:t>
  </x:si>
  <x:si>
    <x:t xml:space="preserve">Source ID</x:t>
  </x:si>
  <x:si>
    <x:t xml:space="preserve">Reference</x:t>
  </x:si>
  <x:si>
    <x:t xml:space="preserve">Use in HW03</x:t>
  </x:si>
  <x:si>
    <x:t xml:space="preserve">URL / Citation</x:t>
  </x:si>
  <x:si>
    <x:t xml:space="preserve">Verification Note</x:t>
  </x:si>
  <x:si>
    <x:t xml:space="preserve">SRC-01</x:t>
  </x:si>
  <x:si>
    <x:t xml:space="preserve">Course slides: GUI + Usability + Compatibility Testing (AI-First, Combined)</x:t>
  </x:si>
  <x:si>
    <x:t xml:space="preserve">Assignment-specific IA and lecture rules</x:t>
  </x:si>
  <x:si>
    <x:t xml:space="preserve">Course-provided material</x:t>
  </x:si>
  <x:si>
    <x:t xml:space="preserve">Record exact slide/page used in the final report.</x:t>
  </x:si>
  <x:si>
    <x:t xml:space="preserve">SRC-02</x:t>
  </x:si>
  <x:si>
    <x:t xml:space="preserve">Nielsen Norman Group - 10 Usability Heuristics for User Interface Design</x:t>
  </x:si>
  <x:si>
    <x:t xml:space="preserve">General heuristic mapping</x:t>
  </x:si>
  <x:si>
    <x:t xml:space="preserve">https://www.nngroup.com/articles/ten-usability-heuristics/</x:t>
  </x:si>
  <x:si>
    <x:t xml:space="preserve">Authoritative practitioner source.</x:t>
  </x:si>
  <x:si>
    <x:t xml:space="preserve">SRC-03</x:t>
  </x:si>
  <x:si>
    <x:t xml:space="preserve">Ben Shneiderman - Eight Golden Rules of Interface Design</x:t>
  </x:si>
  <x:si>
    <x:t xml:space="preserve">Consistency, feedback, closure, reversal, control, memory load</x:t>
  </x:si>
  <x:si>
    <x:t xml:space="preserve">https://www.cs.umd.edu/users/ben/goldenrules.html</x:t>
  </x:si>
  <x:si>
    <x:t xml:space="preserve">University of Maryland author page.</x:t>
  </x:si>
  <x:si>
    <x:t xml:space="preserve">SRC-04</x:t>
  </x:si>
  <x:si>
    <x:t xml:space="preserve">Don Norman - The Design of Everyday Things</x:t>
  </x:si>
  <x:si>
    <x:t xml:space="preserve">Visibility, feedback, constraints, mapping, consistency, affordance/signifiers</x:t>
  </x:si>
  <x:si>
    <x:t xml:space="preserve">Norman, D. (2013). The Design of Everyday Things, Revised and Expanded.</x:t>
  </x:si>
  <x:si>
    <x:t xml:space="preserve">Use course terminology if the lecture defines the six principles differently.</x:t>
  </x:si>
  <x:si>
    <x:t xml:space="preserve">SRC-05</x:t>
  </x:si>
  <x:si>
    <x:t xml:space="preserve">W3C WAI - WCAG 2.2 Quick Reference</x:t>
  </x:si>
  <x:si>
    <x:t xml:space="preserve">Accessibility, keyboard, contrast, focus, labels, status messages</x:t>
  </x:si>
  <x:si>
    <x:t xml:space="preserve">https://www.w3.org/WAI/WCAG22/quickref/</x:t>
  </x:si>
  <x:si>
    <x:t xml:space="preserve">Normative WCAG mapping.</x:t>
  </x:si>
  <x:si>
    <x:t xml:space="preserve">SRC-06</x:t>
  </x:si>
  <x:si>
    <x:t xml:space="preserve">W3C WAI - Forms: Labeling Controls and Instructions</x:t>
  </x:si>
  <x:si>
    <x:t xml:space="preserve">Form labels and instructions</x:t>
  </x:si>
  <x:si>
    <x:t xml:space="preserve">https://www.w3.org/WAI/tutorials/forms/labels/</x:t>
  </x:si>
  <x:si>
    <x:t xml:space="preserve">Official W3C tutorial.</x:t>
  </x:si>
  <x:si>
    <x:t xml:space="preserve">SRC-07</x:t>
  </x:si>
  <x:si>
    <x:t xml:space="preserve">W3C WAI - Forms: Validating Input</x:t>
  </x:si>
  <x:si>
    <x:t xml:space="preserve">Validation and error recovery</x:t>
  </x:si>
  <x:si>
    <x:t xml:space="preserve">https://www.w3.org/WAI/tutorials/forms/validation/</x:t>
  </x:si>
  <x:si>
    <x:t xml:space="preserve">SRC-08</x:t>
  </x:si>
  <x:si>
    <x:t xml:space="preserve">Nielsen Norman Group - Severity Ratings for Usability Problems</x:t>
  </x:si>
  <x:si>
    <x:t xml:space="preserve">Severity scale 0-4</x:t>
  </x:si>
  <x:si>
    <x:t xml:space="preserve">https://www.nngroup.com/articles/how-to-rate-the-severity-of-usability-problems/</x:t>
  </x:si>
  <x:si>
    <x:t xml:space="preserve">Use frequency, impact, and persistence.</x:t>
  </x:si>
  <x:si>
    <x:t xml:space="preserve">SRC-09</x:t>
  </x:si>
  <x:si>
    <x:t xml:space="preserve">BrowserStack Live Documentation</x:t>
  </x:si>
  <x:si>
    <x:t xml:space="preserve">Cross-browser/cross-device evidence planning</x:t>
  </x:si>
  <x:si>
    <x:t xml:space="preserve">https://www.browserstack.com/docs/testing-toolkit/live</x:t>
  </x:si>
  <x:si>
    <x:t xml:space="preserve">Capture browser, OS, device, URL, and student email.</x:t>
  </x:si>
  <x:si>
    <x:t xml:space="preserve">SRC-10</x:t>
  </x:si>
  <x:si>
    <x:t xml:space="preserve">John Brooke - System Usability Scale (SUS)</x:t>
  </x:si>
  <x:si>
    <x:t xml:space="preserve">10-item post-task questionnaire and 0-100 scoring</x:t>
  </x:si>
  <x:si>
    <x:t xml:space="preserve">Brooke, J. (1996). SUS: A quick and dirty usability scale.</x:t>
  </x:si>
  <x:si>
    <x:t xml:space="preserve">Odd items: response-1; even items: 5-response; multiply sum by 2.5.</x:t>
  </x:si>
  <x:si>
    <x:t xml:space="preserve">SRC-11</x:t>
  </x:si>
  <x:si>
    <x:t xml:space="preserve">Nielsen Norman Group - Usability 101</x:t>
  </x:si>
  <x:si>
    <x:t xml:space="preserve">Effectiveness, efficiency, satisfaction; real-user testing</x:t>
  </x:si>
  <x:si>
    <x:t xml:space="preserve">https://www.nngroup.com/articles/usability-101-introduction-to-usability/</x:t>
  </x:si>
  <x:si>
    <x:t xml:space="preserve">Supports user-testing rationale.</x:t>
  </x:si>
  <x:si>
    <x:t xml:space="preserve">SRC-12</x:t>
  </x:si>
  <x:si>
    <x:t xml:space="preserve">EMS Student Manual (live SUT)</x:t>
  </x:si>
  <x:si>
    <x:t xml:space="preserve">EMS functions and terminology</x:t>
  </x:si>
  <x:si>
    <x:t xml:space="preserve">https://prod-dev.ems-fitus.cloud/manual/student</x:t>
  </x:si>
  <x:si>
    <x:t xml:space="preserve">Re-check because live content may change.</x:t>
  </x:si>
  <x:si>
    <x:t xml:space="preserve">SRC-13</x:t>
  </x:si>
  <x:si>
    <x:t xml:space="preserve">2026.HW03.GUI Usability EMS_En.md</x:t>
  </x:si>
  <x:si>
    <x:t xml:space="preserve">Authoritative homework requirements</x:t>
  </x:si>
  <x:si>
    <x:t xml:space="preserve">Course-provided brief</x:t>
  </x:si>
  <x:si>
    <x:t xml:space="preserve">Use the detailed brief when a summary slide is ambiguous.</x:t>
  </x:si>
  <x:si>
    <x:t xml:space="preserve">AI Interaction and Prompt Log</x:t>
  </x:si>
  <x:si>
    <x:t xml:space="preserve">Paste the verbatim prompt and output reference for every interaction. Template prompts are not evidence until actually run, reviewed, and timestamped.</x:t>
  </x:si>
  <x:si>
    <x:t xml:space="preserve">Privacy: never paste unmasked participant contacts, recordings, private screenshots, passwords, OTPs, or authentication tokens into Codex.</x:t>
  </x:si>
  <x:si>
    <x:t xml:space="preserve">Interaction ID</x:t>
  </x:si>
  <x:si>
    <x:t xml:space="preserve">Status</x:t>
  </x:si>
  <x:si>
    <x:t xml:space="preserve">Stage</x:t>
  </x:si>
  <x:si>
    <x:t xml:space="preserve">Prompt (verbatim)</x:t>
  </x:si>
  <x:si>
    <x:t xml:space="preserve">Tool / Model</x:t>
  </x:si>
  <x:si>
    <x:t xml:space="preserve">Date &amp; Time</x:t>
  </x:si>
  <x:si>
    <x:t xml:space="preserve">AI Output Ref</x:t>
  </x:si>
  <x:si>
    <x:t xml:space="preserve">Student Verdict</x:t>
  </x:si>
  <x:si>
    <x:t xml:space="preserve">Student Modification / Verification</x:t>
  </x:si>
  <x:si>
    <x:t xml:space="preserve">AI-000</x:t>
  </x:si>
  <x:si>
    <x:t xml:space="preserve">Used</x:t>
  </x:si>
  <x:si>
    <x:t xml:space="preserve">Kickoff / requirements analysis</x:t>
  </x:si>
  <x:si>
    <x:t xml:space="preserve">Đây là bài tập HW03 của tôi, bạn hãy hướng dẫn cho nhóm tôi và tôi hoàn thành đầy đủ bài tập này. AI Agent mà tôi sử dụng: Codex. Link website mới: https://prod-dev.ems-fitus.cloud/</x:t>
  </x:si>
  <x:si>
    <x:t xml:space="preserve">OpenAI Codex</x:t>
  </x:si>
  <x:si>
    <x:t xml:space="preserve">2026-07-30 (add exact local time)</x:t>
  </x:si>
  <x:si>
    <x:t xml:space="preserve">HW03 Working Pack + kickoff analysis</x:t>
  </x:si>
  <x:si>
    <x:t xml:space="preserve">INCOMPLETE</x:t>
  </x:si>
  <x:si>
    <x:t xml:space="preserve">Student must add scenario allocation, real execution, five-user data, screenshots, findings, and final verification.</x:t>
  </x:si>
  <x:si>
    <x:t xml:space="preserve">AI-001</x:t>
  </x:si>
  <x:si>
    <x:t xml:space="preserve">Template - run only if needed</x:t>
  </x:si>
  <x:si>
    <x:t xml:space="preserve">Checklist critique</x:t>
  </x:si>
  <x:si>
    <x:t xml:space="preserve">Audit the attached EMS GUI checklist against Nielsen's 10 heuristics, Norman's principles, Shneiderman's 8 golden rules, WCAG 2.2, and IA-01..IA-04. Do not invent EMS behavior. Return only: duplicates, ambiguous/non-testable items, uncovered risks, and proposed rewrites. Tag every proposal as AI-generated.</x:t>
  </x:si>
  <x:si>
    <x:t xml:space="preserve">AI-002</x:t>
  </x:si>
  <x:si>
    <x:t xml:space="preserve">Template - run only after human execution</x:t>
  </x:si>
  <x:si>
    <x:t xml:space="preserve">Checklist execution review</x:t>
  </x:si>
  <x:si>
    <x:t xml:space="preserve">Review my completed checklist execution for [SCENARIO] on [SCREEN 1], [SCREEN 2], and [SCREEN 3]. Use only the Passed/Failed values, notes, and screenshot references I provide. Flag contradictions, missing failure reasons, duplicate bug IDs, and claims not supported by evidence. Do not change test results or invent observations.</x:t>
  </x:si>
  <x:si>
    <x:t xml:space="preserve">AI-003</x:t>
  </x:si>
  <x:si>
    <x:t xml:space="preserve">Template - run only with de-identified data</x:t>
  </x:si>
  <x:si>
    <x:t xml:space="preserve">Usability analysis</x:t>
  </x:si>
  <x:si>
    <x:t xml:space="preserve">Analyse the de-identified metrics and observation notes from five real-user sessions for [SCENARIO]. Cluster repeated pain points, separate isolated bugs from systemic usability issues, calculate success rate/mean time/mean errors from the supplied values, and propose severity 0-4 using frequency, impact, and persistence. Do not invent participants, quotes, scores, or screenshots.</x:t>
  </x:si>
  <x:si>
    <x:t xml:space="preserve">AI-004</x:t>
  </x:si>
  <x:si>
    <x:t xml:space="preserve">Template - run after compatibility tests</x:t>
  </x:si>
  <x:si>
    <x:t xml:space="preserve">Compatibility analysis</x:t>
  </x:si>
  <x:si>
    <x:t xml:space="preserve">Audit my compatibility matrix for each owned EMS screen. Verify that every screen covers at least three operating systems, five browsers, and three device classes; identify missing coverage and inconsistent Pass/Fail notes. Use only the attached matrix and screenshot references. Do not claim a platform was tested without evidence.</x:t>
  </x:si>
  <x:si>
    <x:t xml:space="preserve">AI-005</x:t>
  </x:si>
  <x:si>
    <x:t xml:space="preserve">Template - run after all logs are complete</x:t>
  </x:si>
  <x:si>
    <x:t xml:space="preserve">Final compliance audit</x:t>
  </x:si>
  <x:si>
    <x:t xml:space="preserve">Perform a requirement-by-requirement audit of my HW03 package against the course brief. For each requirement, return PASS, FAIL, or BLOCKED and cite the exact artifact/evidence path. Check cross-consistency among the main report, findings log, Google Form timestamps, screenshot references, AI audit, prompt log, README summary, and Git commit log. Do not fill missing evidence.</x:t>
  </x:si>
  <x:si>
    <x:t xml:space="preserve">AI-006</x:t>
  </x:si>
  <x:si>
    <x:t xml:space="preserve">Checklist </x:t>
  </x:si>
  <x:si>
    <x:t xml:space="preserve">Review items IA02-01 to IA02-14 and IA04-05 to IA04-09 based on Section 6, Task 1, Part A of the .md file. Keep table format intact. Verify/correct rows: if correct, add "claude" to "Add by"; if incorrect/missing, explain in "why did I miss it" and provide the corrected version.</x:t>
  </x:si>
  <x:si>
    <x:t xml:space="preserve">Claude Sonnet 5</x:t>
  </x:si>
  <x:si>
    <x:t xml:space="preserve">Task 1B - Checklist Execution on Three Screens</x:t>
  </x:si>
  <x:si>
    <x:t xml:space="preserve">Rename Screen 1-3 below. Final state: every nonblank checklist item is Passed or Failed for all three screens; screenshots are required for Failed items only.</x:t>
  </x:si>
  <x:si>
    <x:t xml:space="preserve">Scenario</x:t>
  </x:si>
  <x:si>
    <x:t xml:space="preserve">Screen 1</x:t>
  </x:si>
  <x:si>
    <x:t xml:space="preserve">Screen 2</x:t>
  </x:si>
  <x:si>
    <x:t xml:space="preserve">Screen 3</x:t>
  </x:si>
  <x:si>
    <x:t xml:space="preserve">ID</x:t>
  </x:si>
  <x:si>
    <x:t xml:space="preserve">IA</x:t>
  </x:si>
  <x:si>
    <x:t xml:space="preserve">Checklist Item</x:t>
  </x:si>
  <x:si>
    <x:t xml:space="preserve">Task 2 - Pilot + Five Real-User Sessions</x:t>
  </x:si>
  <x:si>
    <x:t xml:space="preserve">Participants must be real people outside the class. Store only masked contacts here. Keep consent and raw evidence in the protected submission folder.</x:t>
  </x:si>
  <x:si>
    <x:t xml:space="preserve">Session ID</x:t>
  </x:si>
  <x:si>
    <x:t xml:space="preserve">Participant Alias</x:t>
  </x:si>
  <x:si>
    <x:t xml:space="preserve">Target Profile</x:t>
  </x:si>
  <x:si>
    <x:t xml:space="preserve">Masked Contact</x:t>
  </x:si>
  <x:si>
    <x:t xml:space="preserve">Consent</x:t>
  </x:si>
  <x:si>
    <x:t xml:space="preserve">Recording Consent</x:t>
  </x:si>
  <x:si>
    <x:t xml:space="preserve">Task Success</x:t>
  </x:si>
  <x:si>
    <x:t xml:space="preserve">Time (sec)</x:t>
  </x:si>
  <x:si>
    <x:t xml:space="preserve">Errors</x:t>
  </x:si>
  <x:si>
    <x:t xml:space="preserve">Hesitations</x:t>
  </x:si>
  <x:si>
    <x:t xml:space="preserve">Assistance Count</x:t>
  </x:si>
  <x:si>
    <x:t xml:space="preserve">Raw Notes / Recording Ref</x:t>
  </x:si>
  <x:si>
    <x:t xml:space="preserve">Five-session metrics (pilot excluded)</x:t>
  </x:si>
  <x:si>
    <x:t xml:space="preserve">Completion Rate</x:t>
  </x:si>
  <x:si>
    <x:t xml:space="preserve">Mean Time (sec)</x:t>
  </x:si>
  <x:si>
    <x:t xml:space="preserve">Mean Errors</x:t>
  </x:si>
  <x:si>
    <x:t xml:space="preserve">Mean Hesitations</x:t>
  </x:si>
  <x:si>
    <x:t xml:space="preserve">Probe</x:t>
  </x:si>
  <x:si>
    <x:t xml:space="preserve">Question</x:t>
  </x:si>
  <x:si>
    <x:t xml:space="preserve">Clarity</x:t>
  </x:si>
  <x:si>
    <x:t xml:space="preserve">Which part of the page or wording was least clear?</x:t>
  </x:si>
  <x:si>
    <x:t xml:space="preserve">Recovery</x:t>
  </x:si>
  <x:si>
    <x:t xml:space="preserve">When something went wrong, what helped or blocked your recovery?</x:t>
  </x:si>
  <x:si>
    <x:t xml:space="preserve">Speed</x:t>
  </x:si>
  <x:si>
    <x:t xml:space="preserve">Which step felt slower or more effortful than expected?</x:t>
  </x:si>
  <x:si>
    <x:t xml:space="preserve">Trust</x:t>
  </x:si>
  <x:si>
    <x:t xml:space="preserve">At which point did you feel most or least confident that EMS had saved the correct state?</x:t>
  </x:si>
  <x:si>
    <x:t xml:space="preserve">Improvement</x:t>
  </x:si>
  <x:si>
    <x:t xml:space="preserve">If you could change one thing in this flow, what would it be?</x:t>
  </x:si>
  <x:si>
    <x:t xml:space="preserve">System Usability Scale (SUS) - Five Participants</x:t>
  </x:si>
  <x:si>
    <x:t xml:space="preserve">Responses use 1=Strongly Disagree to 5=Strongly Agree. Odd items contribute response-1; even items contribute 5-response; total x 2.5.</x:t>
  </x:si>
  <x:si>
    <x:t xml:space="preserve">Participant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</x:si>
  <x:si>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</x:si>
  <x:si>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</x:si>
  <x:si>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</x:si>
  <x:si>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</x:si>
  <x:si>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Q5</x:t>
  </x:si>
  <x:si>
    <x:t xml:space="preserve">Q6</x:t>
  </x:si>
  <x:si>
    <x:t xml:space="preserve">Q7</x:t>
  </x:si>
  <x:si>
    <x:t xml:space="preserve">Q8</x:t>
  </x:si>
  <x:si>
    <x:t xml:space="preserve">Q9</x:t>
  </x:si>
  <x:si>
    <x:t xml:space="preserve">Q10</x:t>
  </x:si>
  <x:si>
    <x:t xml:space="preserve">Contribution Sum</x:t>
  </x:si>
  <x:si>
    <x:t xml:space="preserve">SUS Score</x:t>
  </x:si>
  <x:si>
    <x:t xml:space="preserve">Item</x:t>
  </x:si>
  <x:si>
    <x:t xml:space="preserve">Standard SUS Statement</x:t>
  </x:si>
  <x:si>
    <x:t xml:space="preserve">I think that I would like to use this system frequently.</x:t>
  </x:si>
  <x:si>
    <x:t xml:space="preserve">I found the system unnecessarily complex.</x:t>
  </x:si>
  <x:si>
    <x:t xml:space="preserve">I thought the system was easy to use.</x:t>
  </x:si>
  <x:si>
    <x:t xml:space="preserve">I think that I would need the support of a technical person to be able to use this system.</x:t>
  </x:si>
  <x:si>
    <x:t xml:space="preserve">I found the various functions in this system were well integrated.</x:t>
  </x:si>
  <x:si>
    <x:t xml:space="preserve">I thought there was too much inconsistency in this system.</x:t>
  </x:si>
  <x:si>
    <x:t xml:space="preserve">I would imagine that most people would learn to use this system very quickly.</x:t>
  </x:si>
  <x:si>
    <x:t xml:space="preserve">I found the system very cumbersome to use.</x:t>
  </x:si>
  <x:si>
    <x:t xml:space="preserve">I felt very confident using the system.</x:t>
  </x:si>
  <x:si>
    <x:t xml:space="preserve">I needed to learn a lot of things before I could get going with this system.</x:t>
  </x:si>
  <x:si>
    <x:t xml:space="preserve">Task 3 - Cross-Browser / Cross-Platform Matrix</x:t>
  </x:si>
  <x:si>
    <x:t xml:space="preserve">Repeat five configurations for each screen. Every screenshot must show student-ID email overlay, EMS URL, browser, OS, and device identity.</x:t>
  </x:si>
  <x:si>
    <x:t xml:space="preserve">Cell ID</x:t>
  </x:si>
  <x:si>
    <x:t xml:space="preserve">Screen</x:t>
  </x:si>
  <x:si>
    <x:t xml:space="preserve">Operating System</x:t>
  </x:si>
  <x:si>
    <x:t xml:space="preserve">Device Class</x:t>
  </x:si>
  <x:si>
    <x:t xml:space="preserve">Specific Device / OS Version</x:t>
  </x:si>
  <x:si>
    <x:t xml:space="preserve">Viewport / Resolution</x:t>
  </x:si>
  <x:si>
    <x:t xml:space="preserve">Result</x:t>
  </x:si>
  <x:si>
    <x:t xml:space="preserve">Screenshot Ref</x:t>
  </x:si>
  <x:si>
    <x:t xml:space="preserve">Notes / Defect</x:t>
  </x:si>
  <x:si>
    <x:t xml:space="preserve">Test Date</x:t>
  </x:si>
  <x:si>
    <x:t xml:space="preserve">Tester</x:t>
  </x:si>
  <x:si>
    <x:t xml:space="preserve">Environment Type</x:t>
  </x:si>
  <x:si>
    <x:t xml:space="preserve">Task 2 - Ranked Usability Findings</x:t>
  </x:si>
  <x:si>
    <x:t xml:space="preserve">Severity uses Nielsen 0-4. Base the score on observed frequency, impact, and persistence; each finding needs real evidence.</x:t>
  </x:si>
  <x:si>
    <x:t xml:space="preserve">Finding ID</x:t>
  </x:si>
  <x:si>
    <x:t xml:space="preserve">Finding</x:t>
  </x:si>
  <x:si>
    <x:t xml:space="preserve">Affected Screen(s)</x:t>
  </x:si>
  <x:si>
    <x:t xml:space="preserve">Participants Affected</x:t>
  </x:si>
  <x:si>
    <x:t xml:space="preserve">Evidence / Screenshot Ref</x:t>
  </x:si>
  <x:si>
    <x:t xml:space="preserve">Severity 0-4</x:t>
  </x:si>
  <x:si>
    <x:t xml:space="preserve">Frequency</x:t>
  </x:si>
  <x:si>
    <x:t xml:space="preserve">Impact</x:t>
  </x:si>
  <x:si>
    <x:t xml:space="preserve">Persistence</x:t>
  </x:si>
  <x:si>
    <x:t xml:space="preserve">Type</x:t>
  </x:si>
  <x:si>
    <x:t xml:space="preserve">Heuristic</x:t>
  </x:si>
  <x:si>
    <x:t xml:space="preserve">Recommendation</x:t>
  </x:si>
  <x:si>
    <x:t xml:space="preserve">Bug &amp; Usability Findings Log - Must Match Google Form</x:t>
  </x:si>
  <x:si>
    <x:t xml:space="preserve">Every defect and usability improvement from Tasks 1-3 appears here and in the Google Form with matching ID, count, evidence, and timestamp.</x:t>
  </x:si>
  <x:si>
    <x:t xml:space="preserve">Scenario / Screen</x:t>
  </x:si>
  <x:si>
    <x:t xml:space="preserve">Description</x:t>
  </x:si>
  <x:si>
    <x:t xml:space="preserve">Steps / Heuristic</x:t>
  </x:si>
  <x:si>
    <x:t xml:space="preserve">Expected</x:t>
  </x:si>
  <x:si>
    <x:t xml:space="preserve">Actual</x:t>
  </x:si>
  <x:si>
    <x:t xml:space="preserve">Severity</x:t>
  </x:si>
  <x:si>
    <x:t xml:space="preserve">Suggested Fix</x:t>
  </x:si>
  <x:si>
    <x:t xml:space="preserve">Source Task</x:t>
  </x:si>
  <x:si>
    <x:t xml:space="preserve">Form Submission Timestamp</x:t>
  </x:si>
  <x:si>
    <x:t xml:space="preserve">Form Confirmation / Response Ref</x:t>
  </x:si>
  <x:si>
    <x:t xml:space="preserve">Reporter Email</x:t>
  </x:si>
  <x:si>
    <x:t xml:space="preserve">Main Report and Submission Map</x:t>
  </x:si>
  <x:si>
    <x:t xml:space="preserve">Use this as the Markdown/PDF outline. Each claim must point to a real table, screenshot, recording, or log entry.</x:t>
  </x:si>
  <x:si>
    <x:t xml:space="preserve">Section</x:t>
  </x:si>
  <x:si>
    <x:t xml:space="preserve">Required Content</x:t>
  </x:si>
  <x:si>
    <x:t xml:space="preserve">Primary Evidence</x:t>
  </x:si>
  <x:si>
    <x:t xml:space="preserve">Owner</x:t>
  </x:si>
  <x:si>
    <x:t xml:space="preserve">Done?</x:t>
  </x:si>
</x:sst>
</file>

<file path=xl/styles.xml><?xml version="1.0" encoding="utf-8"?>
<x:styleSheet xmlns:x="http://schemas.openxmlformats.org/spreadsheetml/2006/main">
  <x:numFmts count="5">
    <x:numFmt numFmtId="164" formatCode="0.0"/>
    <x:numFmt numFmtId="165" formatCode="0.0%"/>
    <x:numFmt numFmtId="166" formatCode="yyyy\-mm\-dd"/>
    <x:numFmt numFmtId="167" formatCode="yyyy\-mm\-dd\ hh:mm"/>
    <x:numFmt numFmtId="200" formatCode="@"/>
  </x:numFmts>
  <x:fonts count="25">
    <x:font>
      <x:sz val="11"/>
      <x:color rgb="FF000000"/>
      <x:name val="Carlito"/>
    </x:font>
    <x:font>
      <x:b/>
      <x:sz val="18"/>
      <x:color rgb="FFFFFFFF"/>
      <x:name val="Carlito"/>
    </x:font>
    <x:font>
      <x:i/>
      <x:sz val="10"/>
      <x:color rgb="FF0B3A53"/>
      <x:name val="Carlito"/>
    </x:font>
    <x:font>
      <x:b/>
      <x:sz val="10"/>
      <x:color rgb="FF991B1B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17202A"/>
      <x:name val="Carlito"/>
    </x:font>
    <x:font>
      <x:b/>
      <x:sz val="11"/>
      <x:color rgb="FF991B1B"/>
      <x:name val="Carlito"/>
    </x:font>
    <x:font>
      <x:b/>
      <x:sz val="11"/>
      <x:color rgb="FF9A3412"/>
      <x:name val="Carlito"/>
    </x:font>
    <x:font>
      <x:b/>
      <x:sz val="13"/>
      <x:color rgb="FF0B3A53"/>
      <x:name val="Carlito"/>
    </x:font>
    <x:font>
      <x:sz val="10"/>
      <x:color rgb="FF7C2D12"/>
      <x:name val="Carlito"/>
    </x:font>
    <x:font>
      <x:sz val="11"/>
      <x:name val="Carlito"/>
    </x:font>
    <x:font>
      <x:sz val="9"/>
      <x:color theme="1"/>
      <x:name val="Carlito"/>
    </x:font>
    <x:font>
      <x:sz val="9"/>
      <x:color theme="1"/>
      <x:name val="Carlito"/>
    </x:font>
    <x:font>
      <x:sz val="11"/>
      <x:color theme="1"/>
      <x:name val="Carlito"/>
    </x:font>
    <x:font>
      <x:b/>
      <x:sz val="11"/>
      <x:color rgb="FF0B3A53"/>
      <x:name val="Carlito"/>
    </x:font>
    <x:font>
      <x:b/>
      <x:sz val="12"/>
      <x:color rgb="FF17202A"/>
      <x:name val="Carlito"/>
    </x:font>
    <x:font>
      <x:b/>
      <x:sz val="16"/>
      <x:color rgb="FFFFFFFF"/>
      <x:name val="Carlito"/>
    </x:font>
    <x:font>
      <x:i/>
      <x:sz val="11"/>
      <x:color rgb="FF0B3D56"/>
      <x:name val="Carlito"/>
    </x:font>
    <x:font>
      <x:b/>
      <x:sz val="11"/>
      <x:color rgb="FF9C3D10"/>
      <x:name val="Carlito"/>
    </x:font>
    <x:font>
      <x:b/>
      <x:sz val="16"/>
      <x:color rgb="FFFFFFFF"/>
      <x:name val="Aptos"/>
    </x:font>
    <x:font>
      <x:i/>
      <x:sz val="11"/>
      <x:color rgb="FF0B3D56"/>
      <x:name val="Aptos"/>
    </x:font>
    <x:font>
      <x:sz val="11"/>
      <x:color rgb="FF000000"/>
      <x:name val="Aptos"/>
    </x:font>
    <x:font>
      <x:b/>
      <x:sz val="11"/>
      <x:color rgb="FF9C3D10"/>
      <x:name val="Aptos"/>
    </x:font>
    <x:font>
      <x:b/>
      <x:sz val="11"/>
      <x:color rgb="FF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8FB"/>
      </x:patternFill>
    </x:fill>
    <x:fill>
      <x:patternFill patternType="solid">
        <x:fgColor rgb="FFFEE2E2"/>
      </x:patternFill>
    </x:fill>
    <x:fill>
      <x:patternFill patternType="solid">
        <x:fgColor rgb="FF087F8C"/>
      </x:patternFill>
    </x:fill>
    <x:fill>
      <x:patternFill patternType="solid">
        <x:fgColor rgb="FFFFF2DF"/>
      </x:patternFill>
    </x:fill>
    <x:fill>
      <x:patternFill patternType="solid">
        <x:fgColor rgb="FFEAF2F8"/>
      </x:patternFill>
    </x:fill>
    <x:fill>
      <x:patternFill patternType="solid">
        <x:fgColor rgb="FFF59E0B"/>
      </x:patternFill>
    </x:fill>
    <x:fill>
      <x:patternFill patternType="solid">
        <x:fgColor rgb="FFF8FAFC"/>
      </x:patternFill>
    </x:fill>
    <x:fill>
      <x:patternFill patternType="solid">
        <x:fgColor rgb="FF0B3D56"/>
      </x:patternFill>
    </x:fill>
    <x:fill>
      <x:patternFill patternType="solid">
        <x:fgColor rgb="FFE6F5FA"/>
      </x:patternFill>
    </x:fill>
    <x:fill>
      <x:patternFill patternType="solid">
        <x:fgColor rgb="FFFFF2CC"/>
      </x:patternFill>
    </x:fill>
    <x:fill>
      <x:patternFill patternType="solid">
        <x:fgColor rgb="FF0F8794"/>
      </x:patternFill>
    </x:fill>
  </x:fills>
  <x:borders count="8">
    <x:border/>
    <x:border>
      <x:bottom style="medium">
        <x:color rgb="FF0B3A53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E2E8F0"/>
      </x:top>
    </x:border>
    <x:border>
      <x:top style="thin">
        <x:color rgb="FFFED7AA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4" fillId="5" borderId="1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9" fillId="7" borderId="0" xfId="0" applyFont="1" applyFill="1" applyAlignment="1">
      <x:alignment horizontal="center" vertical="center"/>
    </x:xf>
    <x:xf numFmtId="164" fontId="9" fillId="7" borderId="0" xfId="0" applyNumberFormat="1" applyFont="1" applyFill="1" applyAlignment="1">
      <x:alignment horizontal="center" vertical="center"/>
    </x:xf>
    <x:xf numFmtId="0" fontId="6" fillId="0" borderId="6" xfId="0" applyFont="1" applyBorder="1" applyAlignment="1">
      <x:alignment vertical="center" wrapText="1"/>
    </x:xf>
    <x:xf numFmtId="0" fontId="12" fillId="0" borderId="0" xfId="0" applyFont="1" applyAlignment="1">
      <x:alignment vertical="center"/>
    </x:xf>
    <x:xf numFmtId="0" fontId="13" fillId="0" borderId="0" xfId="0" applyFont="1" applyAlignment="1">
      <x:alignment vertical="center"/>
    </x:xf>
    <x:xf numFmtId="0" fontId="14" fillId="0" borderId="0" xfId="0" applyFont="1" applyAlignment="1">
      <x:alignment vertical="center"/>
    </x:xf>
    <x:xf numFmtId="0" fontId="15" fillId="7" borderId="0" xfId="0" applyFont="1" applyFill="1" applyAlignment="1">
      <x:alignment wrapText="1"/>
    </x:xf>
    <x:xf numFmtId="164" fontId="6" fillId="0" borderId="2" xfId="0" applyNumberFormat="1" applyFont="1" applyBorder="1" applyAlignment="1">
      <x:alignment vertical="center" wrapText="1"/>
    </x:xf>
    <x:xf numFmtId="164" fontId="6" fillId="0" borderId="3" xfId="0" applyNumberFormat="1" applyFont="1" applyBorder="1" applyAlignment="1">
      <x:alignment vertical="center" wrapText="1"/>
    </x:xf>
    <x:xf numFmtId="0" fontId="15" fillId="7" borderId="0" xfId="0" applyFont="1" applyFill="1"/>
    <x:xf numFmtId="165" fontId="16" fillId="9" borderId="0" xfId="0" applyNumberFormat="1" applyFont="1" applyFill="1"/>
    <x:xf numFmtId="0" fontId="16" fillId="9" borderId="0" xfId="0" applyFont="1" applyFill="1"/>
    <x:xf numFmtId="164" fontId="6" fillId="0" borderId="6" xfId="0" applyNumberFormat="1" applyFont="1" applyBorder="1" applyAlignment="1">
      <x:alignment vertical="center" wrapText="1"/>
    </x:xf>
    <x:xf numFmtId="164" fontId="9" fillId="7" borderId="0" xfId="0" applyNumberFormat="1" applyFont="1" applyFill="1"/>
    <x:xf numFmtId="166" fontId="6" fillId="0" borderId="2" xfId="0" applyNumberFormat="1" applyFont="1" applyBorder="1" applyAlignment="1">
      <x:alignment vertical="center" wrapText="1"/>
    </x:xf>
    <x:xf numFmtId="166" fontId="6" fillId="0" borderId="3" xfId="0" applyNumberFormat="1" applyFont="1" applyBorder="1" applyAlignment="1">
      <x:alignment vertical="center" wrapText="1"/>
    </x:xf>
    <x:xf numFmtId="166" fontId="6" fillId="0" borderId="6" xfId="0" applyNumberFormat="1" applyFont="1" applyBorder="1" applyAlignment="1">
      <x:alignment vertical="center" wrapText="1"/>
    </x:xf>
    <x:xf numFmtId="167" fontId="6" fillId="0" borderId="2" xfId="0" applyNumberFormat="1" applyFont="1" applyBorder="1" applyAlignment="1">
      <x:alignment vertical="center" wrapText="1"/>
    </x:xf>
    <x:xf numFmtId="167" fontId="6" fillId="0" borderId="3" xfId="0" applyNumberFormat="1" applyFont="1" applyBorder="1" applyAlignment="1">
      <x:alignment vertical="center" wrapText="1"/>
    </x:xf>
    <x:xf numFmtId="167" fontId="6" fillId="0" borderId="6" xfId="0" applyNumberFormat="1" applyFont="1" applyBorder="1" applyAlignment="1">
      <x:alignment vertical="center" wrapText="1"/>
    </x:xf>
    <x:xf numFmtId="0" fontId="10" fillId="6" borderId="7" xfId="0" applyFont="1" applyFill="1" applyBorder="1" applyAlignment="1">
      <x:alignment vertical="center" wrapText="1"/>
    </x:xf>
    <x:xf numFmtId="0" fontId="11" fillId="0" borderId="7" xfId="0" applyFont="1" applyBorder="1"/>
    <x:xf numFmtId="0" fontId="5" fillId="2" borderId="0" xfId="0" applyFont="1" applyFill="1"/>
    <x:xf numFmtId="0" fontId="0" fillId="0" borderId="0" xfId="0"/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 wrapText="1"/>
    </x:xf>
    <x:xf numFmtId="0" fontId="3" fillId="4" borderId="0" xfId="0" applyFont="1" applyFill="1" applyAlignment="1">
      <x:alignment vertical="center" wrapText="1"/>
    </x:xf>
    <x:xf numFmtId="0" fontId="5" fillId="5" borderId="0" xfId="0" applyFont="1" applyFill="1" applyAlignment="1">
      <x:alignment horizontal="center" vertical="center"/>
    </x:xf>
    <x:xf numFmtId="0" fontId="5" fillId="8" borderId="0" xfId="0" applyFont="1" applyFill="1" applyAlignment="1">
      <x:alignment vertical="center"/>
    </x:xf>
    <x:xf numFmtId="0" fontId="10" fillId="6" borderId="4" xfId="0" applyFont="1" applyFill="1" applyBorder="1" applyAlignment="1">
      <x:alignment vertical="center" wrapText="1"/>
    </x:xf>
    <x:xf numFmtId="0" fontId="11" fillId="0" borderId="4" xfId="0" applyFont="1" applyBorder="1"/>
    <x:xf numFmtId="0" fontId="10" fillId="6" borderId="5" xfId="0" applyFont="1" applyFill="1" applyBorder="1" applyAlignment="1">
      <x:alignment vertical="center" wrapText="1"/>
    </x:xf>
    <x:xf numFmtId="0" fontId="11" fillId="0" borderId="5" xfId="0" applyFont="1" applyBorder="1"/>
    <x:xf numFmtId="0" fontId="8" fillId="6" borderId="0" xfId="0" applyFont="1" applyFill="1" applyAlignment="1">
      <x:alignment wrapText="1"/>
    </x:xf>
    <x:xf numFmtId="0" fontId="7" fillId="4" borderId="0" xfId="0" applyFont="1" applyFill="1" applyAlignment="1">
      <x:alignment wrapText="1"/>
    </x:xf>
    <x:xf numFmtId="0" fontId="6" fillId="0" borderId="3" xfId="0" applyFont="1" applyBorder="1" applyAlignment="1">
      <x:alignment vertical="center" wrapText="1"/>
    </x:xf>
    <x:xf numFmtId="0" fontId="11" fillId="0" borderId="3" xfId="0" applyFont="1" applyBorder="1"/>
    <x:xf numFmtId="0" fontId="6" fillId="0" borderId="6" xfId="0" applyFont="1" applyBorder="1" applyAlignment="1">
      <x:alignment vertical="center" wrapText="1"/>
    </x:xf>
    <x:xf numFmtId="0" fontId="11" fillId="0" borderId="6" xfId="0" applyFont="1" applyBorder="1"/>
    <x:xf numFmtId="0" fontId="4" fillId="5" borderId="1" xfId="0" applyFont="1" applyFill="1" applyBorder="1" applyAlignment="1">
      <x:alignment horizontal="center" vertical="center" wrapText="1"/>
    </x:xf>
    <x:xf numFmtId="0" fontId="11" fillId="0" borderId="1" xfId="0" applyFont="1" applyBorder="1"/>
    <x:xf numFmtId="0" fontId="6" fillId="0" borderId="2" xfId="0" applyFont="1" applyBorder="1" applyAlignment="1">
      <x:alignment vertical="center" wrapText="1"/>
    </x:xf>
    <x:xf numFmtId="0" fontId="11" fillId="0" borderId="2" xfId="0" applyFont="1" applyBorder="1"/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0" fillId="10" borderId="0" xfId="0" applyNumberFormat="1" applyFont="1" applyFill="1" applyBorder="1" applyAlignment="1">
      <x:alignment vertical="center"/>
    </x:xf>
    <x:xf numFmtId="0" fontId="21" fillId="11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0" fontId="23" fillId="12" borderId="0" xfId="0" applyNumberFormat="1" applyFont="1" applyFill="1" applyBorder="1" applyAlignment="1">
      <x:alignment wrapText="1"/>
    </x:xf>
    <x:xf numFmtId="0" fontId="24" fillId="13" borderId="0" xfId="0" applyNumberFormat="1" applyFont="1" applyFill="1" applyBorder="1" applyAlignment="1">
      <x:alignment horizontal="center"/>
    </x:xf>
    <x:xf numFmtId="0" fontId="22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top" wrapText="1"/>
    </x:xf>
    <x:xf numFmtId="166" fontId="6" fillId="0" borderId="2" xfId="0" applyNumberFormat="1" applyFont="1" applyFill="1" applyBorder="1" applyAlignment="1">
      <x:alignment vertical="center" wrapText="1"/>
    </x:xf>
    <x:xf numFmtId="166" fontId="6" fillId="0" borderId="3" xfId="0" applyNumberFormat="1" applyFont="1" applyFill="1" applyBorder="1" applyAlignment="1">
      <x:alignment vertical="center" wrapText="1"/>
    </x:xf>
    <x:xf numFmtId="166" fontId="6" fillId="0" borderId="6" xfId="0" applyNumberFormat="1" applyFont="1" applyFill="1" applyBorder="1" applyAlignment="1">
      <x:alignment vertical="center" wrapText="1"/>
    </x:xf>
    <x:xf numFmtId="166" fontId="6" fillId="0" borderId="2" xfId="0" applyNumberFormat="1" applyFont="1" applyFill="1" applyBorder="1" applyAlignment="1">
      <x:alignment vertical="top" wrapText="1"/>
    </x:xf>
    <x:xf numFmtId="166" fontId="6" fillId="0" borderId="3" xfId="0" applyNumberFormat="1" applyFont="1" applyFill="1" applyBorder="1" applyAlignment="1">
      <x:alignment vertical="top" wrapText="1"/>
    </x:xf>
    <x:xf numFmtId="166" fontId="6" fillId="0" borderId="6" xfId="0" applyNumberFormat="1" applyFont="1" applyFill="1" applyBorder="1" applyAlignment="1">
      <x:alignment vertical="top" wrapText="1"/>
    </x:xf>
    <x:xf numFmtId="167" fontId="6" fillId="0" borderId="2" xfId="0" applyNumberFormat="1" applyFont="1" applyFill="1" applyBorder="1" applyAlignment="1">
      <x:alignment vertical="center" wrapText="1"/>
    </x:xf>
    <x:xf numFmtId="167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0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64748B"/>
      </x:font>
      <x:fill>
        <x:patternFill>
          <x:bgColor rgb="FFF8FAFC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b/>
        <x:color rgb="FF9A3412"/>
      </x:font>
      <x:fill>
        <x:patternFill>
          <x:bgColor rgb="FFFFF2DF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7F1D1D"/>
        </x:patternFill>
      </x:fill>
    </x:dxf>
    <x:dxf>
      <x:font>
        <x:color rgb="FF64748B"/>
      </x:font>
      <x:fill>
        <x:patternFill>
          <x:bgColor rgb="FFF8FAFC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b/>
        <x:color rgb="FF9A3412"/>
      </x:font>
      <x:fill>
        <x:patternFill>
          <x:bgColor rgb="FFFFF2DF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7F1D1D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854D0E"/>
      </x:font>
      <x:fill>
        <x:patternFill>
          <x:bgColor rgb="FFFEF9C3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0"/>
        </x:patternFill>
      </x:fill>
    </x:dxf>
    <x:dxf>
      <x:fill>
        <x:patternFill>
          <x:bgColor rgb="FFC1E4F5"/>
        </x:patternFill>
      </x:fill>
    </x:dxf>
    <x:dxf>
      <x:fill>
        <x:patternFill>
          <x:bgColor theme="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0731aa636465d" /><Relationship Type="http://schemas.openxmlformats.org/officeDocument/2006/relationships/theme" Target="/xl/theme/theme1.xml" Id="R1f293edf1af7480e" /><Relationship Type="http://schemas.openxmlformats.org/officeDocument/2006/relationships/sharedStrings" Target="/xl/sharedStrings.xml" Id="R2d66bef2ef5f46bb" /><Relationship Type="http://schemas.openxmlformats.org/officeDocument/2006/relationships/worksheet" Target="/xl/worksheets/sheet1.xml" Id="R7c45f98df59545f1" /><Relationship Type="http://schemas.openxmlformats.org/officeDocument/2006/relationships/worksheet" Target="/xl/worksheets/sheet2.xml" Id="R2dbf8ab7442c46c6" /><Relationship Type="http://schemas.openxmlformats.org/officeDocument/2006/relationships/worksheet" Target="/xl/worksheets/sheet3.xml" Id="R600d1b35d8b140c8" /><Relationship Type="http://schemas.openxmlformats.org/officeDocument/2006/relationships/worksheet" Target="/xl/worksheets/sheet4.xml" Id="R4aaa9432699a4177" /><Relationship Type="http://schemas.openxmlformats.org/officeDocument/2006/relationships/worksheet" Target="/xl/worksheets/sheet5.xml" Id="R4c99482899884ad1" /><Relationship Type="http://schemas.openxmlformats.org/officeDocument/2006/relationships/worksheet" Target="/xl/worksheets/sheet6.xml" Id="R5ac4451bce1c4ea3" /><Relationship Type="http://schemas.openxmlformats.org/officeDocument/2006/relationships/worksheet" Target="/xl/worksheets/sheet7.xml" Id="Rb22342f5acce45d3" /><Relationship Type="http://schemas.openxmlformats.org/officeDocument/2006/relationships/worksheet" Target="/xl/worksheets/sheet8.xml" Id="R18888fbf6bb94849" /><Relationship Type="http://schemas.openxmlformats.org/officeDocument/2006/relationships/worksheet" Target="/xl/worksheets/sheet9.xml" Id="R1a862a633dc14f80" /><Relationship Type="http://schemas.openxmlformats.org/officeDocument/2006/relationships/worksheet" Target="/xl/worksheets/sheet10.xml" Id="R39751b298ced4de5" /><Relationship Type="http://schemas.openxmlformats.org/officeDocument/2006/relationships/worksheet" Target="/xl/worksheets/sheet11.xml" Id="R78669d21cc2b4e3f" /></Relationships>
</file>

<file path=xl/tables/table1.xml><?xml version="1.0" encoding="utf-8"?>
<x:table xmlns:x="http://schemas.openxmlformats.org/spreadsheetml/2006/main" id="3" name="SourcesTable" displayName="SourcesTable" ref="A5:E19" headerRowCount="1" totalsRowCount="0">
  <x:tableColumns count="5">
    <x:tableColumn id="1" name="Source ID"/>
    <x:tableColumn id="2" name="Reference"/>
    <x:tableColumn id="3" name="Use in HW03"/>
    <x:tableColumn id="4" name="URL / Citation"/>
    <x:tableColumn id="5" name="Verification Note"/>
  </x:tableColumns>
  <x:tableStyleInfo name="Sources-style" showFirstColumn="1" showLastColumn="1" showRowStripes="1" showColumnStripes="0"/>
</x:table>
</file>

<file path=xl/tables/table2.xml><?xml version="1.0" encoding="utf-8"?>
<x:table xmlns:x="http://schemas.openxmlformats.org/spreadsheetml/2006/main" id="2" name="AIPromptLogTable" displayName="AIPromptLogTable" ref="A5:I30">
  <x:tableColumns count="9">
    <x:tableColumn id="1" name="Interaction ID"/>
    <x:tableColumn id="2" name="Status"/>
    <x:tableColumn id="3" name="Stage"/>
    <x:tableColumn id="4" name="Prompt (verbatim)"/>
    <x:tableColumn id="5" name="Tool / Model"/>
    <x:tableColumn id="6" name="Date &amp; Time"/>
    <x:tableColumn id="7" name="AI Output Ref"/>
    <x:tableColumn id="8" name="Student Verdict"/>
    <x:tableColumn id="9" name="Student Modification / Verification"/>
  </x:tableColumns>
  <x:tableStyleInfo name="AI Prompts-style" showFirstColumn="1" showLastColumn="1" showRowStripes="1" showColumnStripes="0"/>
</x:table>
</file>

<file path=xl/tables/table3.xml><?xml version="1.0" encoding="utf-8"?>
<x:table xmlns:x="http://schemas.openxmlformats.org/spreadsheetml/2006/main" id="4" name="ExecutionTable" displayName="ExecutionTable" ref="A5:L65">
  <x:tableColumns count="12">
    <x:tableColumn id="1" name="ID"/>
    <x:tableColumn id="2" name="IA"/>
    <x:tableColumn id="3" name="Checklist Item"/>
    <x:tableColumn id="4" name="Screen 1 Status"/>
    <x:tableColumn id="5" name="Screen 1 Notes"/>
    <x:tableColumn id="6" name="Screen 1 Screenshot Ref"/>
    <x:tableColumn id="7" name="Screen 2 Status"/>
    <x:tableColumn id="8" name="Screen 2 Notes"/>
    <x:tableColumn id="9" name="Screen 2 Screenshot Ref"/>
    <x:tableColumn id="10" name="Screen 3 Status"/>
    <x:tableColumn id="11" name="Screen 3 Notes"/>
    <x:tableColumn id="12" name="Screen 3 Screenshot Ref"/>
  </x:tableColumns>
  <x:tableStyleInfo name="Execution-style" showFirstColumn="1" showLastColumn="1" showRowStripes="1" showColumnStripes="0"/>
</x:table>
</file>

<file path=xl/tables/table4.xml><?xml version="1.0" encoding="utf-8"?>
<x:table xmlns:x="http://schemas.openxmlformats.org/spreadsheetml/2006/main" id="5" name="UserSessionTable" displayName="UserSessionTable" ref="A5:L11">
  <x:tableColumns count="12">
    <x:tableColumn id="1" name="Session ID"/>
    <x:tableColumn id="2" name="Participant Alias"/>
    <x:tableColumn id="3" name="Target Profile"/>
    <x:tableColumn id="4" name="Masked Contact"/>
    <x:tableColumn id="5" name="Consent"/>
    <x:tableColumn id="6" name="Recording Consent"/>
    <x:tableColumn id="7" name="Task Success"/>
    <x:tableColumn id="8" name="Time (sec)"/>
    <x:tableColumn id="9" name="Errors"/>
    <x:tableColumn id="10" name="Hesitations"/>
    <x:tableColumn id="11" name="Assistance Count"/>
    <x:tableColumn id="12" name="Raw Notes / Recording Ref"/>
  </x:tableColumns>
  <x:tableStyleInfo name="User Testing-style" showFirstColumn="1" showLastColumn="1" showRowStripes="1" showColumnStripes="0"/>
</x:table>
</file>

<file path=xl/tables/table5.xml><?xml version="1.0" encoding="utf-8"?>
<x:table xmlns:x="http://schemas.openxmlformats.org/spreadsheetml/2006/main" id="6" name="CompatibilityMatrixTable" displayName="CompatibilityMatrixTable" ref="A5:M20">
  <x:tableColumns count="13">
    <x:tableColumn id="1" name="Cell ID"/>
    <x:tableColumn id="2" name="Screen"/>
    <x:tableColumn id="3" name="Operating System"/>
    <x:tableColumn id="4" name="Browser"/>
    <x:tableColumn id="5" name="Device Class"/>
    <x:tableColumn id="6" name="Specific Device / OS Version"/>
    <x:tableColumn id="7" name="Viewport / Resolution"/>
    <x:tableColumn id="8" name="Result"/>
    <x:tableColumn id="9" name="Screenshot Ref"/>
    <x:tableColumn id="10" name="Notes / Defect"/>
    <x:tableColumn id="11" name="Test Date"/>
    <x:tableColumn id="12" name="Tester"/>
    <x:tableColumn id="13" name="Environment Type"/>
  </x:tableColumns>
  <x:tableStyleInfo name="Compatibility-style" showFirstColumn="1" showLastColumn="1" showRowStripes="1" showColumnStripes="0"/>
</x:table>
</file>

<file path=xl/tables/table6.xml><?xml version="1.0" encoding="utf-8"?>
<x:table xmlns:x="http://schemas.openxmlformats.org/spreadsheetml/2006/main" id="7" name="UsabilityFindingsTable" displayName="UsabilityFindingsTable" ref="A5:M35">
  <x:tableColumns count="13">
    <x:tableColumn id="1" name="Finding ID"/>
    <x:tableColumn id="2" name="Finding"/>
    <x:tableColumn id="3" name="Affected Screen(s)"/>
    <x:tableColumn id="4" name="Participants Affected"/>
    <x:tableColumn id="5" name="Evidence / Screenshot Ref"/>
    <x:tableColumn id="6" name="Severity 0-4"/>
    <x:tableColumn id="7" name="Frequency"/>
    <x:tableColumn id="8" name="Impact"/>
    <x:tableColumn id="9" name="Persistence"/>
    <x:tableColumn id="10" name="Type"/>
    <x:tableColumn id="11" name="Heuristic"/>
    <x:tableColumn id="12" name="Recommendation"/>
    <x:tableColumn id="13" name="Status"/>
  </x:tableColumns>
  <x:tableStyleInfo name="Usability Findings-style" showFirstColumn="1" showLastColumn="1" showRowStripes="1" showColumnStripes="0"/>
</x:table>
</file>

<file path=xl/tables/table7.xml><?xml version="1.0" encoding="utf-8"?>
<x:table xmlns:x="http://schemas.openxmlformats.org/spreadsheetml/2006/main" id="8" name="FindingsLogTable" displayName="FindingsLogTable" ref="A5:O55">
  <x:tableColumns count="15">
    <x:tableColumn id="1" name="ID"/>
    <x:tableColumn id="2" name="Scenario / Screen"/>
    <x:tableColumn id="3" name="Type"/>
    <x:tableColumn id="4" name="Description"/>
    <x:tableColumn id="5" name="Steps / Heuristic"/>
    <x:tableColumn id="6" name="Expected"/>
    <x:tableColumn id="7" name="Actual"/>
    <x:tableColumn id="8" name="Severity"/>
    <x:tableColumn id="9" name="Suggested Fix"/>
    <x:tableColumn id="10" name="Screenshot Ref"/>
    <x:tableColumn id="11" name="Source Task"/>
    <x:tableColumn id="12" name="Form Submission Timestamp"/>
    <x:tableColumn id="13" name="Form Confirmation / Response Ref"/>
    <x:tableColumn id="14" name="Reporter Email"/>
    <x:tableColumn id="15" name="Status"/>
  </x:tableColumns>
  <x:tableStyleInfo name="Findings Log-style" showFirstColumn="1" showLastColumn="1" showRowStripes="1" showColumnStripes="0"/>
</x:table>
</file>

<file path=xl/tables/table8.xml><?xml version="1.0" encoding="utf-8"?>
<x:table xmlns:x="http://schemas.openxmlformats.org/spreadsheetml/2006/main" id="9" name="ReportOutlineTable" displayName="ReportOutlineTable" ref="A5:E20">
  <x:tableColumns count="5">
    <x:tableColumn id="1" name="Section"/>
    <x:tableColumn id="2" name="Required Content"/>
    <x:tableColumn id="3" name="Primary Evidence"/>
    <x:tableColumn id="4" name="Owner"/>
    <x:tableColumn id="5" name="Done?"/>
  </x:tableColumns>
  <x:tableStyleInfo name="Report Outline-style" showFirstColumn="1" showLastColumn="1" showRowStripes="1" showColumnStripes="0"/>
</x:table>
</file>

<file path=xl/tables/table9.xml><?xml version="1.0" encoding="utf-8"?>
<x:table xmlns:x="http://schemas.openxmlformats.org/spreadsheetml/2006/main" id="10" name="MasterChecklistTable" displayName="MasterChecklistTable" ref="A5:E61" headerRowCount="1" totalsRowCount="0" totalsRowShown="0">
  <x:tableColumns count="5">
    <x:tableColumn id="1" name="ID"/>
    <x:tableColumn id="2" name="IA"/>
    <x:tableColumn id="3" name="Checklist Item"/>
    <x:tableColumn id="4" name="Origin"/>
    <x:tableColumn id="5" name="Human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dcd0fe3b745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c8ee0db017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03c3b6d8c742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df6d81e70c42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73849d494594f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f77f078eda147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8642e2a32a149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8fbc497062b4f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500742105b49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0" customWidth="1"/>
    <x:col min="2" max="2" width="50.25" customWidth="1"/>
    <x:col min="3" max="3" width="12.75" customWidth="1"/>
    <x:col min="4" max="10" width="18" customWidth="1"/>
    <x:col min="11" max="26" width="8.625" customWidth="1"/>
  </x:cols>
  <x:sheetData>
    <x:row r="1" ht="33.75" customHeight="1">
      <x:c r="A1" s="28" t="s">
        <x:v>0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1.5" customHeight="1">
      <x:c r="A2" s="29" t="str">
        <x:v>SUT: https://prod-dev.ems-fitus.cloud/ | Owner: Đinh Hoàng Nam — 23127430 | Real evidence must be collected by the student.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 ht="36" customHeight="1">
      <x:c r="A4" s="30" t="s">
        <x:v>1</x:v>
      </x:c>
      <x:c r="B4" s="27"/>
      <x:c r="C4" s="27"/>
      <x:c r="D4" s="27"/>
      <x:c r="E4" s="27"/>
      <x:c r="F4" s="27"/>
      <x:c r="G4" s="27"/>
      <x:c r="H4" s="27"/>
      <x:c r="I4" s="27"/>
      <x:c r="J4" s="27"/>
    </x:row>
    <x:row r="6" ht="30" customHeight="1">
      <x:c r="A6" s="1" t="s">
        <x:v>2</x:v>
      </x:c>
      <x:c r="B6" s="1" t="s">
        <x:v>3</x:v>
      </x:c>
      <x:c r="D6" s="31" t="s">
        <x:v>4</x:v>
      </x:c>
      <x:c r="E6" s="27"/>
      <x:c r="F6" s="27"/>
      <x:c r="G6" s="27"/>
      <x:c r="H6" s="27"/>
      <x:c r="I6" s="27"/>
      <x:c r="J6" s="27"/>
    </x:row>
    <x:row r="7" ht="30" customHeight="1">
      <x:c r="A7" s="2" t="s">
        <x:v>5</x:v>
      </x:c>
      <x:c r="B7" s="2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ht="31.5" customHeight="1">
      <x:c r="A8" s="3" t="s">
        <x:v>14</x:v>
      </x:c>
      <x:c r="B8" s="3" t="str">
        <x:v>Critically review the 56-item AI Draft in Master Checklist. Record genuinely human-authored changes without relabelling AI proposals.</x:v>
      </x:c>
      <x:c r="D8" s="4" t="n">
        <x:f>COUNTA('Master Checklist'!$A$6:$A$61)</x:f>
        <x:v>56</x:v>
      </x:c>
      <x:c r="E8" s="4" t="n">
        <x:f>COUNTIF('Master Checklist'!$D$6:$D$61,"Human Added")</x:f>
        <x:v>0</x:v>
      </x:c>
      <x:c r="F8" s="4" t="str">
        <x:f>IF(COUNTIF('Execution'!$D$6:$D$61,"BLOCKED")+COUNTIF('Execution'!$G$6:$G$61,"BLOCKED")+COUNTIF('Execution'!$J$6:$J$61,"BLOCKED")&gt;0,"",COUNTIF('Execution'!$D$6:$D$61,"Failed")+COUNTIF('Execution'!$G$6:$G$61,"Failed")+COUNTIF('Execution'!$J$6:$J$61,"Failed"))</x:f>
      </x:c>
      <x:c r="G8" s="4" t="n">
        <x:f>COUNTIF('Execution'!$D$6:$D$61,"BLOCKED")+COUNTIF('Execution'!$G$6:$G$61,"BLOCKED")+COUNTIF('Execution'!$J$6:$J$61,"BLOCKED")</x:f>
        <x:v>168</x:v>
      </x:c>
      <x:c r="H8" s="5" t="str">
        <x:f>IF(COUNT('SUS'!$M$7:$M$11)=0,"",AVERAGE('SUS'!$M$7:$M$11))</x:f>
      </x:c>
      <x:c r="I8" s="4" t="n">
        <x:f>COUNTIF('Compatibility'!$H$6:$H$20,"Pass")+COUNTIF('Compatibility'!$H$6:$H$20,"Fail")</x:f>
        <x:v>0</x:v>
      </x:c>
      <x:c r="J8" s="4" t="n">
        <x:f>COUNTIFS('Findings Log'!$A$6:$A$55,"&lt;&gt;",'Findings Log'!$O$6:$O$55,"&lt;&gt;Evidence Required")</x:f>
        <x:v>0</x:v>
      </x:c>
    </x:row>
    <x:row r="9" ht="24">
      <x:c r="A9" s="3" t="s">
        <x:v>15</x:v>
      </x:c>
      <x:c r="B9" s="3" t="s">
        <x:v>16</x:v>
      </x:c>
    </x:row>
    <x:row r="10" ht="36">
      <x:c r="A10" s="3" t="s">
        <x:v>17</x:v>
      </x:c>
      <x:c r="B10" s="3" t="s">
        <x:v>18</x:v>
      </x:c>
      <x:c r="D10" s="32" t="s">
        <x:v>19</x:v>
      </x:c>
      <x:c r="E10" s="27"/>
      <x:c r="F10" s="27"/>
      <x:c r="G10" s="27"/>
      <x:c r="H10" s="27"/>
      <x:c r="I10" s="27"/>
      <x:c r="J10" s="27"/>
    </x:row>
    <x:row r="11" ht="24">
      <x:c r="A11" s="3" t="s">
        <x:v>20</x:v>
      </x:c>
      <x:c r="B11" s="3" t="s">
        <x:v>21</x:v>
      </x:c>
      <x:c r="D11" s="33" t="s">
        <x:v>22</x:v>
      </x:c>
      <x:c r="E11" s="34"/>
      <x:c r="F11" s="34"/>
      <x:c r="G11" s="34"/>
      <x:c r="H11" s="34"/>
      <x:c r="I11" s="34"/>
      <x:c r="J11" s="34"/>
    </x:row>
    <x:row r="12" ht="24">
      <x:c r="A12" s="3" t="s">
        <x:v>23</x:v>
      </x:c>
      <x:c r="B12" s="3" t="s">
        <x:v>24</x:v>
      </x:c>
      <x:c r="D12" s="35" t="s">
        <x:v>25</x:v>
      </x:c>
      <x:c r="E12" s="36"/>
      <x:c r="F12" s="36"/>
      <x:c r="G12" s="36"/>
      <x:c r="H12" s="36"/>
      <x:c r="I12" s="36"/>
      <x:c r="J12" s="36"/>
    </x:row>
    <x:row r="13" ht="24">
      <x:c r="A13" s="6" t="s">
        <x:v>26</x:v>
      </x:c>
      <x:c r="B13" s="6" t="s">
        <x:v>27</x:v>
      </x:c>
      <x:c r="D13" s="24" t="s">
        <x:v>28</x:v>
      </x:c>
      <x:c r="E13" s="25"/>
      <x:c r="F13" s="25"/>
      <x:c r="G13" s="25"/>
      <x:c r="H13" s="25"/>
      <x:c r="I13" s="25"/>
      <x:c r="J13" s="25"/>
    </x:row>
    <x:row r="16">
      <x:c r="A16" s="26" t="s">
        <x:v>29</x:v>
      </x:c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30" customHeight="1">
      <x:c r="A17" s="1" t="s">
        <x:v>30</x:v>
      </x:c>
      <x:c r="B17" s="1" t="s">
        <x:v>31</x:v>
      </x:c>
      <x:c r="C17" s="1" t="s">
        <x:v>32</x:v>
      </x:c>
      <x:c r="D17" s="1" t="s">
        <x:v>33</x:v>
      </x:c>
      <x:c r="E17" s="1" t="s">
        <x:v>34</x:v>
      </x:c>
      <x:c r="F17" s="1" t="s">
        <x:v>35</x:v>
      </x:c>
      <x:c r="G17" s="1" t="s">
        <x:v>36</x:v>
      </x:c>
      <x:c r="H17" s="1" t="s">
        <x:v>37</x:v>
      </x:c>
      <x:c r="I17" s="1" t="s">
        <x:v>38</x:v>
      </x:c>
    </x:row>
    <x:row r="18" ht="36">
      <x:c r="A18" s="2" t="str">
        <x:v>Windows</x:v>
      </x:c>
      <x:c r="B18" s="2" t="str">
        <x:v>Edge</x:v>
      </x:c>
      <x:c r="C18" s="2" t="str">
        <x:v>Desktop</x:v>
      </x:c>
      <x:c r="D18" s="2" t="str">
        <x:v>TODO-HUMAN-EVIDENCE</x:v>
      </x:c>
      <x:c r="E18" s="2" t="str">
        <x:v>Primary Windows rendering</x:v>
      </x:c>
      <x:c r="F18" s="2" t="s">
        <x:v>39</x:v>
      </x:c>
      <x:c r="G18" s="2" t="s">
        <x:v>40</x:v>
      </x:c>
      <x:c r="H18" s="2" t="s">
        <x:v>41</x:v>
      </x:c>
      <x:c r="I18" s="2" t="s">
        <x:v>42</x:v>
      </x:c>
    </x:row>
    <x:row r="19" ht="36">
      <x:c r="A19" s="3" t="str">
        <x:v>Windows</x:v>
      </x:c>
      <x:c r="B19" s="3" t="str">
        <x:v>Firefox</x:v>
      </x:c>
      <x:c r="C19" s="3" t="str">
        <x:v>Desktop</x:v>
      </x:c>
      <x:c r="D19" s="3" t="str">
        <x:v>TODO-HUMAN-EVIDENCE</x:v>
      </x:c>
      <x:c r="E19" s="3" t="str">
        <x:v>Firefox rendering and behaviour</x:v>
      </x:c>
      <x:c r="F19" s="3" t="s">
        <x:v>43</x:v>
      </x:c>
      <x:c r="G19" s="3" t="s">
        <x:v>44</x:v>
      </x:c>
      <x:c r="H19" s="3" t="s">
        <x:v>45</x:v>
      </x:c>
      <x:c r="I19" s="3" t="s">
        <x:v>46</x:v>
      </x:c>
    </x:row>
    <x:row r="20" ht="24">
      <x:c r="A20" s="3" t="str">
        <x:v>Windows</x:v>
      </x:c>
      <x:c r="B20" s="3" t="str">
        <x:v>Opera</x:v>
      </x:c>
      <x:c r="C20" s="3" t="str">
        <x:v>Desktop</x:v>
      </x:c>
      <x:c r="D20" s="3" t="str">
        <x:v>TODO-HUMAN-EVIDENCE</x:v>
      </x:c>
      <x:c r="E20" s="3" t="str">
        <x:v>Opera rendering and behaviour</x:v>
      </x:c>
      <x:c r="F20" s="3" t="s">
        <x:v>47</x:v>
      </x:c>
      <x:c r="G20" s="3" t="s">
        <x:v>48</x:v>
      </x:c>
      <x:c r="H20" s="3" t="s">
        <x:v>49</x:v>
      </x:c>
      <x:c r="I20" s="3" t="s">
        <x:v>46</x:v>
      </x:c>
    </x:row>
    <x:row r="21" ht="15.75" customHeight="1">
      <x:c r="A21" s="3" t="str">
        <x:v>iPadOS</x:v>
      </x:c>
      <x:c r="B21" s="3" t="str">
        <x:v>Safari</x:v>
      </x:c>
      <x:c r="C21" s="3" t="str">
        <x:v>Tablet</x:v>
      </x:c>
      <x:c r="D21" s="3" t="str">
        <x:v>TODO-HUMAN-EVIDENCE</x:v>
      </x:c>
      <x:c r="E21" s="3" t="str">
        <x:v>WebKit tablet coverage</x:v>
      </x:c>
      <x:c r="F21" s="3" t="s">
        <x:v>50</x:v>
      </x:c>
      <x:c r="G21" s="3" t="s">
        <x:v>51</x:v>
      </x:c>
      <x:c r="H21" s="3" t="s">
        <x:v>52</x:v>
      </x:c>
      <x:c r="I21" s="3" t="s">
        <x:v>46</x:v>
      </x:c>
    </x:row>
    <x:row r="22" ht="15.75" customHeight="1">
      <x:c r="A22" s="6" t="str">
        <x:v>Android</x:v>
      </x:c>
      <x:c r="B22" s="6" t="str">
        <x:v>Chrome</x:v>
      </x:c>
      <x:c r="C22" s="6" t="str">
        <x:v>Phone</x:v>
      </x:c>
      <x:c r="D22" s="6" t="str">
        <x:v>TODO-HUMAN-EVIDENCE</x:v>
      </x:c>
      <x:c r="E22" s="6" t="str">
        <x:v>Phone responsive behaviour</x:v>
      </x:c>
      <x:c r="F22" s="6" t="s">
        <x:v>53</x:v>
      </x:c>
      <x:c r="G22" s="6" t="s">
        <x:v>54</x:v>
      </x:c>
      <x:c r="H22" s="6" t="s">
        <x:v>55</x:v>
      </x:c>
      <x:c r="I22" s="6" t="s">
        <x:v>46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D13:J13"/>
    <x:mergeCell ref="A16:J16"/>
    <x:mergeCell ref="A1:J1"/>
    <x:mergeCell ref="A2:J2"/>
    <x:mergeCell ref="A4:J4"/>
    <x:mergeCell ref="D6:J6"/>
    <x:mergeCell ref="D10:J10"/>
    <x:mergeCell ref="D11:J11"/>
    <x:mergeCell ref="D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2" customWidth="1"/>
    <x:col min="2" max="2" width="50" customWidth="1"/>
    <x:col min="3" max="3" width="40" customWidth="1"/>
    <x:col min="4" max="4" width="65" customWidth="1"/>
    <x:col min="5" max="5" width="42" customWidth="1"/>
    <x:col min="6" max="26" width="8.625" customWidth="1"/>
  </x:cols>
  <x:sheetData>
    <x:row r="1" ht="33.75" customHeight="1">
      <x:c r="A1" s="28" t="s">
        <x:v>56</x:v>
      </x:c>
      <x:c r="B1" s="27"/>
      <x:c r="C1" s="27"/>
      <x:c r="D1" s="27"/>
      <x:c r="E1" s="27"/>
    </x:row>
    <x:row r="2" ht="31.5" customHeight="1">
      <x:c r="A2" s="29" t="s">
        <x:v>57</x:v>
      </x:c>
      <x:c r="B2" s="27"/>
      <x:c r="C2" s="27"/>
      <x:c r="D2" s="27"/>
      <x:c r="E2" s="27"/>
    </x:row>
    <x:row r="5" ht="30" customHeight="1">
      <x:c r="A5" s="1" t="s">
        <x:v>58</x:v>
      </x:c>
      <x:c r="B5" s="1" t="s">
        <x:v>59</x:v>
      </x:c>
      <x:c r="C5" s="1" t="s">
        <x:v>60</x:v>
      </x:c>
      <x:c r="D5" s="1" t="s">
        <x:v>61</x:v>
      </x:c>
      <x:c r="E5" s="1" t="s">
        <x:v>62</x:v>
      </x:c>
    </x:row>
    <x:row r="6" ht="24">
      <x:c r="A6" s="2" t="s">
        <x:v>63</x:v>
      </x:c>
      <x:c r="B6" s="2" t="s">
        <x:v>64</x:v>
      </x:c>
      <x:c r="C6" s="2" t="s">
        <x:v>65</x:v>
      </x:c>
      <x:c r="D6" s="2" t="s">
        <x:v>66</x:v>
      </x:c>
      <x:c r="E6" s="2" t="s">
        <x:v>67</x:v>
      </x:c>
    </x:row>
    <x:row r="7" ht="24">
      <x:c r="A7" s="3" t="s">
        <x:v>68</x:v>
      </x:c>
      <x:c r="B7" s="3" t="s">
        <x:v>69</x:v>
      </x:c>
      <x:c r="C7" s="3" t="s">
        <x:v>70</x:v>
      </x:c>
      <x:c r="D7" s="3" t="s">
        <x:v>71</x:v>
      </x:c>
      <x:c r="E7" s="3" t="s">
        <x:v>72</x:v>
      </x:c>
    </x:row>
    <x:row r="8" ht="24">
      <x:c r="A8" s="3" t="s">
        <x:v>73</x:v>
      </x:c>
      <x:c r="B8" s="3" t="s">
        <x:v>74</x:v>
      </x:c>
      <x:c r="C8" s="3" t="s">
        <x:v>75</x:v>
      </x:c>
      <x:c r="D8" s="3" t="s">
        <x:v>76</x:v>
      </x:c>
      <x:c r="E8" s="3" t="s">
        <x:v>77</x:v>
      </x:c>
    </x:row>
    <x:row r="9" ht="24">
      <x:c r="A9" s="3" t="s">
        <x:v>78</x:v>
      </x:c>
      <x:c r="B9" s="3" t="s">
        <x:v>79</x:v>
      </x:c>
      <x:c r="C9" s="3" t="s">
        <x:v>80</x:v>
      </x:c>
      <x:c r="D9" s="3" t="s">
        <x:v>81</x:v>
      </x:c>
      <x:c r="E9" s="3" t="s">
        <x:v>82</x:v>
      </x:c>
    </x:row>
    <x:row r="10" ht="24">
      <x:c r="A10" s="3" t="s">
        <x:v>83</x:v>
      </x:c>
      <x:c r="B10" s="3" t="s">
        <x:v>84</x:v>
      </x:c>
      <x:c r="C10" s="3" t="s">
        <x:v>85</x:v>
      </x:c>
      <x:c r="D10" s="3" t="s">
        <x:v>86</x:v>
      </x:c>
      <x:c r="E10" s="3" t="s">
        <x:v>87</x:v>
      </x:c>
    </x:row>
    <x:row r="11" ht="14.25">
      <x:c r="A11" s="3" t="s">
        <x:v>88</x:v>
      </x:c>
      <x:c r="B11" s="3" t="s">
        <x:v>89</x:v>
      </x:c>
      <x:c r="C11" s="3" t="s">
        <x:v>90</x:v>
      </x:c>
      <x:c r="D11" s="3" t="s">
        <x:v>91</x:v>
      </x:c>
      <x:c r="E11" s="3" t="s">
        <x:v>92</x:v>
      </x:c>
    </x:row>
    <x:row r="12" ht="14.25">
      <x:c r="A12" s="3" t="s">
        <x:v>93</x:v>
      </x:c>
      <x:c r="B12" s="3" t="s">
        <x:v>94</x:v>
      </x:c>
      <x:c r="C12" s="3" t="s">
        <x:v>95</x:v>
      </x:c>
      <x:c r="D12" s="3" t="s">
        <x:v>96</x:v>
      </x:c>
      <x:c r="E12" s="3" t="s">
        <x:v>92</x:v>
      </x:c>
    </x:row>
    <x:row r="13" ht="14.25">
      <x:c r="A13" s="3" t="s">
        <x:v>97</x:v>
      </x:c>
      <x:c r="B13" s="3" t="s">
        <x:v>98</x:v>
      </x:c>
      <x:c r="C13" s="3" t="s">
        <x:v>99</x:v>
      </x:c>
      <x:c r="D13" s="3" t="s">
        <x:v>100</x:v>
      </x:c>
      <x:c r="E13" s="3" t="s">
        <x:v>101</x:v>
      </x:c>
    </x:row>
    <x:row r="14" ht="14.25">
      <x:c r="A14" s="3" t="s">
        <x:v>102</x:v>
      </x:c>
      <x:c r="B14" s="3" t="s">
        <x:v>103</x:v>
      </x:c>
      <x:c r="C14" s="3" t="s">
        <x:v>104</x:v>
      </x:c>
      <x:c r="D14" s="3" t="s">
        <x:v>105</x:v>
      </x:c>
      <x:c r="E14" s="3" t="s">
        <x:v>106</x:v>
      </x:c>
    </x:row>
    <x:row r="15" ht="24">
      <x:c r="A15" s="3" t="s">
        <x:v>107</x:v>
      </x:c>
      <x:c r="B15" s="3" t="s">
        <x:v>108</x:v>
      </x:c>
      <x:c r="C15" s="3" t="s">
        <x:v>109</x:v>
      </x:c>
      <x:c r="D15" s="3" t="s">
        <x:v>110</x:v>
      </x:c>
      <x:c r="E15" s="3" t="s">
        <x:v>111</x:v>
      </x:c>
    </x:row>
    <x:row r="16" ht="14.25">
      <x:c r="A16" s="3" t="s">
        <x:v>112</x:v>
      </x:c>
      <x:c r="B16" s="3" t="s">
        <x:v>113</x:v>
      </x:c>
      <x:c r="C16" s="3" t="s">
        <x:v>114</x:v>
      </x:c>
      <x:c r="D16" s="3" t="s">
        <x:v>115</x:v>
      </x:c>
      <x:c r="E16" s="3" t="s">
        <x:v>116</x:v>
      </x:c>
    </x:row>
    <x:row r="17" ht="14.25">
      <x:c r="A17" s="3" t="s">
        <x:v>117</x:v>
      </x:c>
      <x:c r="B17" s="3" t="s">
        <x:v>118</x:v>
      </x:c>
      <x:c r="C17" s="3" t="s">
        <x:v>119</x:v>
      </x:c>
      <x:c r="D17" s="3" t="s">
        <x:v>120</x:v>
      </x:c>
      <x:c r="E17" s="3" t="s">
        <x:v>121</x:v>
      </x:c>
    </x:row>
    <x:row r="18" ht="24">
      <x:c r="A18" s="6" t="s">
        <x:v>122</x:v>
      </x:c>
      <x:c r="B18" s="6" t="s">
        <x:v>123</x:v>
      </x:c>
      <x:c r="C18" s="6" t="s">
        <x:v>124</x:v>
      </x:c>
      <x:c r="D18" s="6" t="s">
        <x:v>125</x:v>
      </x:c>
      <x:c r="E18" s="6" t="s">
        <x:v>126</x:v>
      </x:c>
    </x:row>
    <x:row r="19">
      <x:c r="A19" t="str">
        <x:v>SRC-14</x:v>
      </x:c>
      <x:c r="B19" t="str">
        <x:v>ISTQB Foundation Level Syllabus</x:v>
      </x:c>
      <x:c r="C19" t="str">
        <x:v>Testing terminology and evidence discipline</x:v>
      </x:c>
      <x:c r="D19" t="str">
        <x:v>TODO-HUMAN-EVIDENCE: exact edition and section</x:v>
      </x:c>
      <x:c r="E19" t="str">
        <x:v>Required by the assignment; student must add the precise citation used.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27dcd0fe3b745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4" customWidth="1"/>
    <x:col min="2" max="2" width="30" customWidth="1"/>
    <x:col min="3" max="3" width="26" customWidth="1"/>
    <x:col min="4" max="4" width="86" customWidth="1"/>
    <x:col min="5" max="5" width="18" customWidth="1"/>
    <x:col min="6" max="6" width="22" customWidth="1"/>
    <x:col min="7" max="7" width="36" customWidth="1"/>
    <x:col min="8" max="8" width="16" customWidth="1"/>
    <x:col min="9" max="9" width="58" customWidth="1"/>
    <x:col min="10" max="26" width="8.625" customWidth="1"/>
  </x:cols>
  <x:sheetData>
    <x:row r="1" ht="33.75" customHeight="1">
      <x:c r="A1" s="28" t="s">
        <x:v>127</x:v>
      </x:c>
      <x:c r="B1" s="27"/>
      <x:c r="C1" s="27"/>
      <x:c r="D1" s="27"/>
      <x:c r="E1" s="27"/>
      <x:c r="F1" s="27"/>
      <x:c r="G1" s="27"/>
      <x:c r="H1" s="27"/>
      <x:c r="I1" s="27"/>
    </x:row>
    <x:row r="2" ht="31.5" customHeight="1">
      <x:c r="A2" s="29" t="s">
        <x:v>128</x:v>
      </x:c>
      <x:c r="B2" s="27"/>
      <x:c r="C2" s="27"/>
      <x:c r="D2" s="27"/>
      <x:c r="E2" s="27"/>
      <x:c r="F2" s="27"/>
      <x:c r="G2" s="27"/>
      <x:c r="H2" s="27"/>
      <x:c r="I2" s="27"/>
    </x:row>
    <x:row r="4">
      <x:c r="A4" s="38" t="s">
        <x:v>129</x:v>
      </x:c>
      <x:c r="B4" s="27"/>
      <x:c r="C4" s="27"/>
      <x:c r="D4" s="27"/>
      <x:c r="E4" s="27"/>
      <x:c r="F4" s="27"/>
      <x:c r="G4" s="27"/>
      <x:c r="H4" s="27"/>
      <x:c r="I4" s="27"/>
    </x:row>
    <x:row r="5" ht="30" customHeight="1">
      <x:c r="A5" s="1" t="s">
        <x:v>130</x:v>
      </x:c>
      <x:c r="B5" s="1" t="s">
        <x:v>131</x:v>
      </x:c>
      <x:c r="C5" s="1" t="s">
        <x:v>132</x:v>
      </x:c>
      <x:c r="D5" s="1" t="s">
        <x:v>133</x:v>
      </x:c>
      <x:c r="E5" s="1" t="s">
        <x:v>134</x:v>
      </x:c>
      <x:c r="F5" s="1" t="s">
        <x:v>135</x:v>
      </x:c>
      <x:c r="G5" s="1" t="s">
        <x:v>136</x:v>
      </x:c>
      <x:c r="H5" s="1" t="s">
        <x:v>137</x:v>
      </x:c>
      <x:c r="I5" s="1" t="s">
        <x:v>138</x:v>
      </x:c>
    </x:row>
    <x:row r="6" ht="24">
      <x:c r="A6" s="2" t="s">
        <x:v>139</x:v>
      </x:c>
      <x:c r="B6" s="2" t="s">
        <x:v>140</x:v>
      </x:c>
      <x:c r="C6" s="2" t="s">
        <x:v>141</x:v>
      </x:c>
      <x:c r="D6" s="2" t="s">
        <x:v>142</x:v>
      </x:c>
      <x:c r="E6" s="2" t="s">
        <x:v>143</x:v>
      </x:c>
      <x:c r="F6" s="2" t="s">
        <x:v>144</x:v>
      </x:c>
      <x:c r="G6" s="2" t="s">
        <x:v>145</x:v>
      </x:c>
      <x:c r="H6" s="2" t="s">
        <x:v>146</x:v>
      </x:c>
      <x:c r="I6" s="2" t="s">
        <x:v>147</x:v>
      </x:c>
    </x:row>
    <x:row r="7" ht="36">
      <x:c r="A7" s="3" t="s">
        <x:v>148</x:v>
      </x:c>
      <x:c r="B7" s="3" t="s">
        <x:v>149</x:v>
      </x:c>
      <x:c r="C7" s="3" t="s">
        <x:v>150</x:v>
      </x:c>
      <x:c r="D7" s="3" t="s">
        <x:v>151</x:v>
      </x:c>
      <x:c r="E7" s="3" t="s">
        <x:v>143</x:v>
      </x:c>
      <x:c r="F7" s="3"/>
      <x:c r="G7" s="3"/>
      <x:c r="H7" s="3"/>
      <x:c r="I7" s="3"/>
    </x:row>
    <x:row r="8" ht="36">
      <x:c r="A8" s="3" t="s">
        <x:v>152</x:v>
      </x:c>
      <x:c r="B8" s="3" t="s">
        <x:v>153</x:v>
      </x:c>
      <x:c r="C8" s="3" t="s">
        <x:v>154</x:v>
      </x:c>
      <x:c r="D8" s="3" t="s">
        <x:v>155</x:v>
      </x:c>
      <x:c r="E8" s="3" t="s">
        <x:v>143</x:v>
      </x:c>
      <x:c r="F8" s="3"/>
      <x:c r="G8" s="3"/>
      <x:c r="H8" s="3"/>
      <x:c r="I8" s="3"/>
    </x:row>
    <x:row r="9" ht="48">
      <x:c r="A9" s="3" t="s">
        <x:v>156</x:v>
      </x:c>
      <x:c r="B9" s="3" t="s">
        <x:v>157</x:v>
      </x:c>
      <x:c r="C9" s="3" t="s">
        <x:v>158</x:v>
      </x:c>
      <x:c r="D9" s="3" t="s">
        <x:v>159</x:v>
      </x:c>
      <x:c r="E9" s="3" t="s">
        <x:v>143</x:v>
      </x:c>
      <x:c r="F9" s="3"/>
      <x:c r="G9" s="3"/>
      <x:c r="H9" s="3"/>
      <x:c r="I9" s="3"/>
    </x:row>
    <x:row r="10" ht="36">
      <x:c r="A10" s="3" t="s">
        <x:v>160</x:v>
      </x:c>
      <x:c r="B10" s="3" t="s">
        <x:v>161</x:v>
      </x:c>
      <x:c r="C10" s="3" t="s">
        <x:v>162</x:v>
      </x:c>
      <x:c r="D10" s="3" t="s">
        <x:v>163</x:v>
      </x:c>
      <x:c r="E10" s="3" t="s">
        <x:v>143</x:v>
      </x:c>
      <x:c r="F10" s="3"/>
      <x:c r="G10" s="3"/>
      <x:c r="H10" s="3"/>
      <x:c r="I10" s="3"/>
    </x:row>
    <x:row r="11" ht="48">
      <x:c r="A11" s="6" t="s">
        <x:v>164</x:v>
      </x:c>
      <x:c r="B11" s="6" t="s">
        <x:v>165</x:v>
      </x:c>
      <x:c r="C11" s="6" t="s">
        <x:v>166</x:v>
      </x:c>
      <x:c r="D11" s="6" t="s">
        <x:v>167</x:v>
      </x:c>
      <x:c r="E11" s="6" t="s">
        <x:v>143</x:v>
      </x:c>
      <x:c r="F11" s="6"/>
      <x:c r="G11" s="6"/>
      <x:c r="H11" s="6"/>
      <x:c r="I11" s="6"/>
    </x:row>
    <x:row r="12" ht="36">
      <x:c r="A12" s="7" t="s">
        <x:v>168</x:v>
      </x:c>
      <x:c r="B12" s="7" t="s">
        <x:v>149</x:v>
      </x:c>
      <x:c r="C12" s="7" t="s">
        <x:v>169</x:v>
      </x:c>
      <x:c r="D12" s="6" t="s">
        <x:v>170</x:v>
      </x:c>
      <x:c r="E12" s="8" t="s">
        <x:v>171</x:v>
      </x:c>
      <x:c r="H12" s="9"/>
    </x:row>
    <x:row r="13" ht="64" customHeight="1">
      <x:c r="A13" s="61" t="str">
        <x:v>AI-007</x:v>
      </x:c>
      <x:c r="B13" s="69" t="str">
        <x:v>Used</x:v>
      </x:c>
      <x:c r="C13" s="61" t="str">
        <x:v>Scaffold / report / workbook / skills</x:v>
      </x:c>
      <x:c r="D13" s="61" t="str">
        <x:v>Bạn hãy giúp tôi hoàn thành bài tập này. Tài liệu tôi để trong thư mục [docs](docs/) Bạn hãy đọc qua yêu cầu: [HW03_Codex_Master_Prompt_Nam.md](HW03_Codex_Master_Prompt_Nam.md)</x:v>
      </x:c>
      <x:c r="E13" s="61" t="str">
        <x:v>OpenAI Codex / TODO-MODEL</x:v>
      </x:c>
      <x:c r="F13" s="70" t="str">
        <x:v>2026-08-01 19:05:18 (UTC+07:00)</x:v>
      </x:c>
      <x:c r="G13" s="61" t="str">
        <x:v>README, main_report, workbook, task templates, findings log, and two repository-local skills</x:v>
      </x:c>
      <x:c r="H13" s="69" t="str">
        <x:v>TODO-HUMAN-REVIEW</x:v>
      </x:c>
      <x:c r="I13" s="61" t="str">
        <x:v>TODO-HUMAN-REVIEW</x:v>
      </x:c>
    </x:row>
    <x:row r="14" ht="14.25">
      <x:c r="B14" s="9"/>
      <x:c r="H14" s="9"/>
    </x:row>
    <x:row r="15" ht="14.25">
      <x:c r="B15" s="9"/>
      <x:c r="H15" s="9"/>
    </x:row>
    <x:row r="16" ht="14.25">
      <x:c r="B16" s="9"/>
      <x:c r="H16" s="9"/>
    </x:row>
    <x:row r="17" ht="14.25">
      <x:c r="B17" s="9"/>
      <x:c r="H17" s="9"/>
    </x:row>
    <x:row r="18" ht="14.25">
      <x:c r="B18" s="9"/>
      <x:c r="H18" s="9"/>
    </x:row>
    <x:row r="19" ht="14.25">
      <x:c r="B19" s="9"/>
      <x:c r="H19" s="9"/>
    </x:row>
    <x:row r="20" ht="14.25">
      <x:c r="B20" s="9"/>
      <x:c r="H20" s="9"/>
    </x:row>
    <x:row r="21" ht="15.75" customHeight="1">
      <x:c r="B21" s="9"/>
      <x:c r="H21" s="9"/>
    </x:row>
    <x:row r="22" ht="15.75" customHeight="1">
      <x:c r="B22" s="9"/>
      <x:c r="H22" s="9"/>
    </x:row>
    <x:row r="23" ht="15.75" customHeight="1">
      <x:c r="B23" s="9"/>
      <x:c r="H23" s="9"/>
    </x:row>
    <x:row r="24" ht="15.75" customHeight="1">
      <x:c r="B24" s="9"/>
      <x:c r="H24" s="9"/>
    </x:row>
    <x:row r="25" ht="15.75" customHeight="1">
      <x:c r="B25" s="9"/>
      <x:c r="H25" s="9"/>
    </x:row>
    <x:row r="26" ht="15.75" customHeight="1">
      <x:c r="B26" s="9"/>
      <x:c r="H26" s="9"/>
    </x:row>
    <x:row r="27" ht="15.75" customHeight="1">
      <x:c r="B27" s="9"/>
      <x:c r="H27" s="9"/>
    </x:row>
    <x:row r="28" ht="15.75" customHeight="1">
      <x:c r="B28" s="9"/>
      <x:c r="H28" s="9"/>
    </x:row>
    <x:row r="29" ht="15.75" customHeight="1">
      <x:c r="B29" s="9"/>
      <x:c r="H29" s="9"/>
    </x:row>
    <x:row r="30" ht="15.75" customHeight="1">
      <x:c r="B30" s="9"/>
      <x:c r="H30" s="9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  <x:mergeCell ref="A4:I4"/>
  </x:mergeCells>
  <x:dataValidations count="2">
    <x:dataValidation type="list" allowBlank="1" sqref="B6:B30">
      <x:formula1>"Used,Template - run only if needed,Template - run only after human execution,Template - run only with de-identified data,Template - run after compatibility tests,Template - run after all logs are complete"</x:formula1>
    </x:dataValidation>
    <x:dataValidation type="list" allowBlank="1" sqref="H6:H30">
      <x:formula1>"VALID,INVALID,INCOMPLETE"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c8ee0db01748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2" customWidth="1"/>
    <x:col min="2" max="2" width="20" customWidth="1"/>
    <x:col min="3" max="3" width="72" hidden="0" customWidth="1"/>
    <x:col min="4" max="4" width="16" customWidth="1"/>
    <x:col min="5" max="5" width="44" customWidth="1"/>
    <x:col min="6" max="6" width="28" customWidth="1"/>
    <x:col min="7" max="7" width="16" customWidth="1"/>
    <x:col min="8" max="8" width="44" customWidth="1"/>
    <x:col min="9" max="9" width="28" customWidth="1"/>
    <x:col min="10" max="10" width="16" customWidth="1"/>
    <x:col min="11" max="11" width="44" customWidth="1"/>
    <x:col min="12" max="12" width="28" customWidth="1"/>
    <x:col min="13" max="26" width="8.625" customWidth="1"/>
  </x:cols>
  <x:sheetData>
    <x:row r="1" ht="33.75" customHeight="1">
      <x:c r="A1" s="28" t="s">
        <x:v>172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1.5" customHeight="1">
      <x:c r="A2" s="29" t="s">
        <x:v>173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10" t="s">
        <x:v>174</x:v>
      </x:c>
      <x:c r="B3" s="10" t="s">
        <x:v>175</x:v>
      </x:c>
      <x:c r="C3" s="10" t="s">
        <x:v>176</x:v>
      </x:c>
      <x:c r="D3" s="10"/>
      <x:c r="E3" s="10"/>
      <x:c r="F3" s="10"/>
      <x:c r="G3" s="10" t="s">
        <x:v>177</x:v>
      </x:c>
      <x:c r="H3" s="10"/>
      <x:c r="I3" s="10"/>
      <x:c r="J3" s="10"/>
      <x:c r="K3" s="10"/>
      <x:c r="L3" s="10"/>
    </x:row>
    <x:row r="4" ht="30">
      <x:c r="A4" s="10" t="str">
        <x:v>C</x:v>
      </x:c>
      <x:c r="B4" s="10" t="str">
        <x:v>C1 — Users List</x:v>
      </x:c>
      <x:c r="C4" s="10" t="str">
        <x:v>C2 — Assign Role / Edit User</x:v>
      </x:c>
      <x:c r="D4" s="10"/>
      <x:c r="E4" s="10"/>
      <x:c r="F4" s="10"/>
      <x:c r="G4" s="10" t="str">
        <x:v>C3 — Block/Unblock and Reset Password dialogs</x:v>
      </x:c>
      <x:c r="H4" s="10"/>
      <x:c r="I4" s="10"/>
      <x:c r="J4" s="10"/>
      <x:c r="K4" s="10"/>
      <x:c r="L4" s="10"/>
    </x:row>
    <x:row r="5" ht="30" customHeight="1">
      <x:c r="A5" s="1" t="s">
        <x:v>178</x:v>
      </x:c>
      <x:c r="B5" s="1" t="s">
        <x:v>179</x:v>
      </x:c>
      <x:c r="C5" s="1" t="s">
        <x:v>180</x:v>
      </x:c>
      <x:c r="D5" s="1" t="str">
        <x:v>C1 Status</x:v>
      </x:c>
      <x:c r="E5" s="1" t="str">
        <x:v>C1 Notes</x:v>
      </x:c>
      <x:c r="F5" s="1" t="str">
        <x:v>C1 Screenshot Ref</x:v>
      </x:c>
      <x:c r="G5" s="1" t="str">
        <x:v>C2 Status</x:v>
      </x:c>
      <x:c r="H5" s="1" t="str">
        <x:v>C2 Notes</x:v>
      </x:c>
      <x:c r="I5" s="1" t="str">
        <x:v>C2 Screenshot Ref</x:v>
      </x:c>
      <x:c r="J5" s="1" t="str">
        <x:v>C3 Status</x:v>
      </x:c>
      <x:c r="K5" s="1" t="str">
        <x:v>C3 Notes</x:v>
      </x:c>
      <x:c r="L5" s="1" t="str">
        <x:v>C3 Screenshot Ref</x:v>
      </x:c>
    </x:row>
    <x:row r="6" ht="34" customHeight="1">
      <x:c r="A6" s="73" t="str">
        <x:f>'Master Checklist'!A6</x:f>
        <x:v>IA01-01</x:v>
      </x:c>
      <x:c r="B6" s="73" t="str">
        <x:f>'Master Checklist'!B6</x:f>
        <x:v>IA-01 General UI</x:v>
      </x:c>
      <x:c r="C6" s="73" t="str">
        <x:f>'Master Checklist'!C6</x:f>
        <x:v>Layout follows a consistent grid; labels, fields, cards, tables, and actions are aligned with no overlap or clipping.</x:v>
      </x:c>
      <x:c r="D6" s="73" t="str">
        <x:v>BLOCKED</x:v>
      </x:c>
      <x:c r="E6" s="73" t="str">
        <x:v>TODO-HUMAN-EVIDENCE</x:v>
      </x:c>
      <x:c r="F6" s="73" t="str">
        <x:v>TODO-HUMAN-EVIDENCE</x:v>
      </x:c>
      <x:c r="G6" s="73" t="str">
        <x:v>BLOCKED</x:v>
      </x:c>
      <x:c r="H6" s="73" t="str">
        <x:v>TODO-HUMAN-EVIDENCE</x:v>
      </x:c>
      <x:c r="I6" s="73" t="str">
        <x:v>TODO-HUMAN-EVIDENCE</x:v>
      </x:c>
      <x:c r="J6" s="73" t="str">
        <x:v>BLOCKED</x:v>
      </x:c>
      <x:c r="K6" s="73" t="str">
        <x:v>TODO-HUMAN-EVIDENCE</x:v>
      </x:c>
      <x:c r="L6" s="73" t="str">
        <x:v>TODO-HUMAN-EVIDENCE</x:v>
      </x:c>
    </x:row>
    <x:row r="7" ht="34" customHeight="1">
      <x:c r="A7" s="74" t="str">
        <x:f>'Master Checklist'!A7</x:f>
        <x:v>IA01-02</x:v>
      </x:c>
      <x:c r="B7" s="74" t="str">
        <x:f>'Master Checklist'!B7</x:f>
        <x:v>IA-01 General UI</x:v>
      </x:c>
      <x:c r="C7" s="74" t="str">
        <x:f>'Master Checklist'!C7</x:f>
        <x:v>The page remains usable on desktop, tablet, and phone without unintended horizontal scrolling or hidden essential actions.</x:v>
      </x:c>
      <x:c r="D7" s="74" t="str">
        <x:v>BLOCKED</x:v>
      </x:c>
      <x:c r="E7" s="74" t="str">
        <x:v>TODO-HUMAN-EVIDENCE</x:v>
      </x:c>
      <x:c r="F7" s="74" t="str">
        <x:v>TODO-HUMAN-EVIDENCE</x:v>
      </x:c>
      <x:c r="G7" s="74" t="str">
        <x:v>BLOCKED</x:v>
      </x:c>
      <x:c r="H7" s="74" t="str">
        <x:v>TODO-HUMAN-EVIDENCE</x:v>
      </x:c>
      <x:c r="I7" s="74" t="str">
        <x:v>TODO-HUMAN-EVIDENCE</x:v>
      </x:c>
      <x:c r="J7" s="74" t="str">
        <x:v>BLOCKED</x:v>
      </x:c>
      <x:c r="K7" s="74" t="str">
        <x:v>TODO-HUMAN-EVIDENCE</x:v>
      </x:c>
      <x:c r="L7" s="74" t="str">
        <x:v>TODO-HUMAN-EVIDENCE</x:v>
      </x:c>
    </x:row>
    <x:row r="8" ht="34" customHeight="1">
      <x:c r="A8" s="74" t="str">
        <x:f>'Master Checklist'!A8</x:f>
        <x:v>IA01-03</x:v>
      </x:c>
      <x:c r="B8" s="74" t="str">
        <x:f>'Master Checklist'!B8</x:f>
        <x:v>IA-01 General UI</x:v>
      </x:c>
      <x:c r="C8" s="74" t="str">
        <x:f>'Master Checklist'!C8</x:f>
        <x:v>Typography has a clear hierarchy and consistent fonts, sizes, capitalization, line spacing, and wrapping.</x:v>
      </x:c>
      <x:c r="D8" s="74" t="str">
        <x:v>BLOCKED</x:v>
      </x:c>
      <x:c r="E8" s="74" t="str">
        <x:v>TODO-HUMAN-EVIDENCE</x:v>
      </x:c>
      <x:c r="F8" s="74" t="str">
        <x:v>TODO-HUMAN-EVIDENCE</x:v>
      </x:c>
      <x:c r="G8" s="74" t="str">
        <x:v>BLOCKED</x:v>
      </x:c>
      <x:c r="H8" s="74" t="str">
        <x:v>TODO-HUMAN-EVIDENCE</x:v>
      </x:c>
      <x:c r="I8" s="74" t="str">
        <x:v>TODO-HUMAN-EVIDENCE</x:v>
      </x:c>
      <x:c r="J8" s="74" t="str">
        <x:v>BLOCKED</x:v>
      </x:c>
      <x:c r="K8" s="74" t="str">
        <x:v>TODO-HUMAN-EVIDENCE</x:v>
      </x:c>
      <x:c r="L8" s="74" t="str">
        <x:v>TODO-HUMAN-EVIDENCE</x:v>
      </x:c>
    </x:row>
    <x:row r="9" ht="34" customHeight="1">
      <x:c r="A9" s="74" t="str">
        <x:f>'Master Checklist'!A9</x:f>
        <x:v>IA01-04</x:v>
      </x:c>
      <x:c r="B9" s="74" t="str">
        <x:f>'Master Checklist'!B9</x:f>
        <x:v>IA-01 General UI</x:v>
      </x:c>
      <x:c r="C9" s="74" t="str">
        <x:f>'Master Checklist'!C9</x:f>
        <x:v>Text and essential icons have sufficient contrast against their background, including hover, focus, disabled, and selected states.</x:v>
      </x:c>
      <x:c r="D9" s="74" t="str">
        <x:v>BLOCKED</x:v>
      </x:c>
      <x:c r="E9" s="74" t="str">
        <x:v>TODO-HUMAN-EVIDENCE</x:v>
      </x:c>
      <x:c r="F9" s="74" t="str">
        <x:v>TODO-HUMAN-EVIDENCE</x:v>
      </x:c>
      <x:c r="G9" s="74" t="str">
        <x:v>BLOCKED</x:v>
      </x:c>
      <x:c r="H9" s="74" t="str">
        <x:v>TODO-HUMAN-EVIDENCE</x:v>
      </x:c>
      <x:c r="I9" s="74" t="str">
        <x:v>TODO-HUMAN-EVIDENCE</x:v>
      </x:c>
      <x:c r="J9" s="74" t="str">
        <x:v>BLOCKED</x:v>
      </x:c>
      <x:c r="K9" s="74" t="str">
        <x:v>TODO-HUMAN-EVIDENCE</x:v>
      </x:c>
      <x:c r="L9" s="74" t="str">
        <x:v>TODO-HUMAN-EVIDENCE</x:v>
      </x:c>
    </x:row>
    <x:row r="10" ht="34" customHeight="1">
      <x:c r="A10" s="74" t="str">
        <x:f>'Master Checklist'!A10</x:f>
        <x:v>IA01-05</x:v>
      </x:c>
      <x:c r="B10" s="74" t="str">
        <x:f>'Master Checklist'!B10</x:f>
        <x:v>IA-01 General UI</x:v>
      </x:c>
      <x:c r="C10" s="74" t="str">
        <x:f>'Master Checklist'!C10</x:f>
        <x:v>Meaning is not communicated by color alone; statuses also use text, icon, pattern, or another cue.</x:v>
      </x:c>
      <x:c r="D10" s="74" t="str">
        <x:v>BLOCKED</x:v>
      </x:c>
      <x:c r="E10" s="74" t="str">
        <x:v>TODO-HUMAN-EVIDENCE</x:v>
      </x:c>
      <x:c r="F10" s="74" t="str">
        <x:v>TODO-HUMAN-EVIDENCE</x:v>
      </x:c>
      <x:c r="G10" s="74" t="str">
        <x:v>BLOCKED</x:v>
      </x:c>
      <x:c r="H10" s="74" t="str">
        <x:v>TODO-HUMAN-EVIDENCE</x:v>
      </x:c>
      <x:c r="I10" s="74" t="str">
        <x:v>TODO-HUMAN-EVIDENCE</x:v>
      </x:c>
      <x:c r="J10" s="74" t="str">
        <x:v>BLOCKED</x:v>
      </x:c>
      <x:c r="K10" s="74" t="str">
        <x:v>TODO-HUMAN-EVIDENCE</x:v>
      </x:c>
      <x:c r="L10" s="74" t="str">
        <x:v>TODO-HUMAN-EVIDENCE</x:v>
      </x:c>
    </x:row>
    <x:row r="11" ht="34" customHeight="1">
      <x:c r="A11" s="74" t="str">
        <x:f>'Master Checklist'!A11</x:f>
        <x:v>IA01-06</x:v>
      </x:c>
      <x:c r="B11" s="74" t="str">
        <x:f>'Master Checklist'!B11</x:f>
        <x:v>IA-01 General UI</x:v>
      </x:c>
      <x:c r="C11" s="74" t="str">
        <x:f>'Master Checklist'!C11</x:f>
        <x:v>Images and icons are sharp, use the expected aspect ratio, include useful alternative text, and do not distort.</x:v>
      </x:c>
      <x:c r="D11" s="74" t="str">
        <x:v>BLOCKED</x:v>
      </x:c>
      <x:c r="E11" s="74" t="str">
        <x:v>TODO-HUMAN-EVIDENCE</x:v>
      </x:c>
      <x:c r="F11" s="74" t="str">
        <x:v>TODO-HUMAN-EVIDENCE</x:v>
      </x:c>
      <x:c r="G11" s="74" t="str">
        <x:v>BLOCKED</x:v>
      </x:c>
      <x:c r="H11" s="74" t="str">
        <x:v>TODO-HUMAN-EVIDENCE</x:v>
      </x:c>
      <x:c r="I11" s="74" t="str">
        <x:v>TODO-HUMAN-EVIDENCE</x:v>
      </x:c>
      <x:c r="J11" s="74" t="str">
        <x:v>BLOCKED</x:v>
      </x:c>
      <x:c r="K11" s="74" t="str">
        <x:v>TODO-HUMAN-EVIDENCE</x:v>
      </x:c>
      <x:c r="L11" s="74" t="str">
        <x:v>TODO-HUMAN-EVIDENCE</x:v>
      </x:c>
    </x:row>
    <x:row r="12" ht="34" customHeight="1">
      <x:c r="A12" s="74" t="str">
        <x:f>'Master Checklist'!A12</x:f>
        <x:v>IA01-07</x:v>
      </x:c>
      <x:c r="B12" s="74" t="str">
        <x:f>'Master Checklist'!B12</x:f>
        <x:v>IA-01 General UI</x:v>
      </x:c>
      <x:c r="C12" s="74" t="str">
        <x:f>'Master Checklist'!C12</x:f>
        <x:v>Interactive controls visibly distinguish default, hover, keyboard-focus, active, selected, and disabled states.</x:v>
      </x:c>
      <x:c r="D12" s="74" t="str">
        <x:v>BLOCKED</x:v>
      </x:c>
      <x:c r="E12" s="74" t="str">
        <x:v>TODO-HUMAN-EVIDENCE</x:v>
      </x:c>
      <x:c r="F12" s="74" t="str">
        <x:v>TODO-HUMAN-EVIDENCE</x:v>
      </x:c>
      <x:c r="G12" s="74" t="str">
        <x:v>BLOCKED</x:v>
      </x:c>
      <x:c r="H12" s="74" t="str">
        <x:v>TODO-HUMAN-EVIDENCE</x:v>
      </x:c>
      <x:c r="I12" s="74" t="str">
        <x:v>TODO-HUMAN-EVIDENCE</x:v>
      </x:c>
      <x:c r="J12" s="74" t="str">
        <x:v>BLOCKED</x:v>
      </x:c>
      <x:c r="K12" s="74" t="str">
        <x:v>TODO-HUMAN-EVIDENCE</x:v>
      </x:c>
      <x:c r="L12" s="74" t="str">
        <x:v>TODO-HUMAN-EVIDENCE</x:v>
      </x:c>
    </x:row>
    <x:row r="13" ht="34" customHeight="1">
      <x:c r="A13" s="74" t="str">
        <x:f>'Master Checklist'!A13</x:f>
        <x:v>IA01-08</x:v>
      </x:c>
      <x:c r="B13" s="74" t="str">
        <x:f>'Master Checklist'!B13</x:f>
        <x:v>IA-01 General UI</x:v>
      </x:c>
      <x:c r="C13" s="74" t="str">
        <x:f>'Master Checklist'!C13</x:f>
        <x:v>English and Vietnamese are complete and consistent across visible text, page titles, validation messages, dialogs, toasts, and manuals.</x:v>
      </x:c>
      <x:c r="D13" s="74" t="str">
        <x:v>BLOCKED</x:v>
      </x:c>
      <x:c r="E13" s="74" t="str">
        <x:v>TODO-HUMAN-EVIDENCE</x:v>
      </x:c>
      <x:c r="F13" s="74" t="str">
        <x:v>TODO-HUMAN-EVIDENCE</x:v>
      </x:c>
      <x:c r="G13" s="74" t="str">
        <x:v>BLOCKED</x:v>
      </x:c>
      <x:c r="H13" s="74" t="str">
        <x:v>TODO-HUMAN-EVIDENCE</x:v>
      </x:c>
      <x:c r="I13" s="74" t="str">
        <x:v>TODO-HUMAN-EVIDENCE</x:v>
      </x:c>
      <x:c r="J13" s="74" t="str">
        <x:v>BLOCKED</x:v>
      </x:c>
      <x:c r="K13" s="74" t="str">
        <x:v>TODO-HUMAN-EVIDENCE</x:v>
      </x:c>
      <x:c r="L13" s="74" t="str">
        <x:v>TODO-HUMAN-EVIDENCE</x:v>
      </x:c>
    </x:row>
    <x:row r="14" ht="34" customHeight="1">
      <x:c r="A14" s="74" t="str">
        <x:f>'Master Checklist'!A14</x:f>
        <x:v>IA01-09</x:v>
      </x:c>
      <x:c r="B14" s="74" t="str">
        <x:f>'Master Checklist'!B14</x:f>
        <x:v>IA-01 General UI</x:v>
      </x:c>
      <x:c r="C14" s="74" t="str">
        <x:f>'Master Checklist'!C14</x:f>
        <x:v>Dates, times, time zones, numbers, and percentages use an unambiguous and consistent locale format.</x:v>
      </x:c>
      <x:c r="D14" s="74" t="str">
        <x:v>BLOCKED</x:v>
      </x:c>
      <x:c r="E14" s="74" t="str">
        <x:v>TODO-HUMAN-EVIDENCE</x:v>
      </x:c>
      <x:c r="F14" s="74" t="str">
        <x:v>TODO-HUMAN-EVIDENCE</x:v>
      </x:c>
      <x:c r="G14" s="74" t="str">
        <x:v>BLOCKED</x:v>
      </x:c>
      <x:c r="H14" s="74" t="str">
        <x:v>TODO-HUMAN-EVIDENCE</x:v>
      </x:c>
      <x:c r="I14" s="74" t="str">
        <x:v>TODO-HUMAN-EVIDENCE</x:v>
      </x:c>
      <x:c r="J14" s="74" t="str">
        <x:v>BLOCKED</x:v>
      </x:c>
      <x:c r="K14" s="74" t="str">
        <x:v>TODO-HUMAN-EVIDENCE</x:v>
      </x:c>
      <x:c r="L14" s="74" t="str">
        <x:v>TODO-HUMAN-EVIDENCE</x:v>
      </x:c>
    </x:row>
    <x:row r="15" ht="34" customHeight="1">
      <x:c r="A15" s="74" t="str">
        <x:f>'Master Checklist'!A15</x:f>
        <x:v>IA01-10</x:v>
      </x:c>
      <x:c r="B15" s="74" t="str">
        <x:f>'Master Checklist'!B15</x:f>
        <x:v>IA-01 General UI</x:v>
      </x:c>
      <x:c r="C15" s="74" t="str">
        <x:f>'Master Checklist'!C15</x:f>
        <x:v>Loading, empty, no-result, offline/server-error, and access-denied states are visually distinct and preserve layout stability.</x:v>
      </x:c>
      <x:c r="D15" s="74" t="str">
        <x:v>BLOCKED</x:v>
      </x:c>
      <x:c r="E15" s="74" t="str">
        <x:v>TODO-HUMAN-EVIDENCE</x:v>
      </x:c>
      <x:c r="F15" s="74" t="str">
        <x:v>TODO-HUMAN-EVIDENCE</x:v>
      </x:c>
      <x:c r="G15" s="74" t="str">
        <x:v>BLOCKED</x:v>
      </x:c>
      <x:c r="H15" s="74" t="str">
        <x:v>TODO-HUMAN-EVIDENCE</x:v>
      </x:c>
      <x:c r="I15" s="74" t="str">
        <x:v>TODO-HUMAN-EVIDENCE</x:v>
      </x:c>
      <x:c r="J15" s="74" t="str">
        <x:v>BLOCKED</x:v>
      </x:c>
      <x:c r="K15" s="74" t="str">
        <x:v>TODO-HUMAN-EVIDENCE</x:v>
      </x:c>
      <x:c r="L15" s="74" t="str">
        <x:v>TODO-HUMAN-EVIDENCE</x:v>
      </x:c>
    </x:row>
    <x:row r="16" ht="34" customHeight="1">
      <x:c r="A16" s="74" t="str">
        <x:f>'Master Checklist'!A16</x:f>
        <x:v>IA01-11</x:v>
      </x:c>
      <x:c r="B16" s="74" t="str">
        <x:f>'Master Checklist'!B16</x:f>
        <x:v>IA-01 General UI</x:v>
      </x:c>
      <x:c r="C16" s="74" t="str">
        <x:f>'Master Checklist'!C16</x:f>
        <x:v>Terms, icons, role names, and status names match the vocabulary and mental model of students, lecturers, guests, and admins.</x:v>
      </x:c>
      <x:c r="D16" s="74" t="str">
        <x:v>BLOCKED</x:v>
      </x:c>
      <x:c r="E16" s="74" t="str">
        <x:v>TODO-HUMAN-EVIDENCE</x:v>
      </x:c>
      <x:c r="F16" s="74" t="str">
        <x:v>TODO-HUMAN-EVIDENCE</x:v>
      </x:c>
      <x:c r="G16" s="74" t="str">
        <x:v>BLOCKED</x:v>
      </x:c>
      <x:c r="H16" s="74" t="str">
        <x:v>TODO-HUMAN-EVIDENCE</x:v>
      </x:c>
      <x:c r="I16" s="74" t="str">
        <x:v>TODO-HUMAN-EVIDENCE</x:v>
      </x:c>
      <x:c r="J16" s="74" t="str">
        <x:v>BLOCKED</x:v>
      </x:c>
      <x:c r="K16" s="74" t="str">
        <x:v>TODO-HUMAN-EVIDENCE</x:v>
      </x:c>
      <x:c r="L16" s="74" t="str">
        <x:v>TODO-HUMAN-EVIDENCE</x:v>
      </x:c>
    </x:row>
    <x:row r="17" ht="34" customHeight="1">
      <x:c r="A17" s="74" t="str">
        <x:f>'Master Checklist'!A17</x:f>
        <x:v>IA01-12</x:v>
      </x:c>
      <x:c r="B17" s="74" t="str">
        <x:f>'Master Checklist'!B17</x:f>
        <x:v>IA-01 General UI</x:v>
      </x:c>
      <x:c r="C17" s="74" t="str">
        <x:f>'Master Checklist'!C17</x:f>
        <x:v>Each screen shows only relevant information and actions; obsolete, duplicated, or low-priority content does not compete with the task.</x:v>
      </x:c>
      <x:c r="D17" s="74" t="str">
        <x:v>BLOCKED</x:v>
      </x:c>
      <x:c r="E17" s="74" t="str">
        <x:v>TODO-HUMAN-EVIDENCE</x:v>
      </x:c>
      <x:c r="F17" s="74" t="str">
        <x:v>TODO-HUMAN-EVIDENCE</x:v>
      </x:c>
      <x:c r="G17" s="74" t="str">
        <x:v>BLOCKED</x:v>
      </x:c>
      <x:c r="H17" s="74" t="str">
        <x:v>TODO-HUMAN-EVIDENCE</x:v>
      </x:c>
      <x:c r="I17" s="74" t="str">
        <x:v>TODO-HUMAN-EVIDENCE</x:v>
      </x:c>
      <x:c r="J17" s="74" t="str">
        <x:v>BLOCKED</x:v>
      </x:c>
      <x:c r="K17" s="74" t="str">
        <x:v>TODO-HUMAN-EVIDENCE</x:v>
      </x:c>
      <x:c r="L17" s="74" t="str">
        <x:v>TODO-HUMAN-EVIDENCE</x:v>
      </x:c>
    </x:row>
    <x:row r="18" ht="34" customHeight="1">
      <x:c r="A18" s="74" t="str">
        <x:f>'Master Checklist'!A18</x:f>
        <x:v>IA01-13</x:v>
      </x:c>
      <x:c r="B18" s="74" t="str">
        <x:f>'Master Checklist'!B18</x:f>
        <x:v>IA-01 General UI</x:v>
      </x:c>
      <x:c r="C18" s="74" t="str">
        <x:f>'Master Checklist'!C18</x:f>
        <x:v>The browser page title, primary heading, and current route consistently identify the current screen.</x:v>
      </x:c>
      <x:c r="D18" s="74" t="str">
        <x:v>BLOCKED</x:v>
      </x:c>
      <x:c r="E18" s="74" t="str">
        <x:v>TODO-HUMAN-EVIDENCE</x:v>
      </x:c>
      <x:c r="F18" s="74" t="str">
        <x:v>TODO-HUMAN-EVIDENCE</x:v>
      </x:c>
      <x:c r="G18" s="74" t="str">
        <x:v>BLOCKED</x:v>
      </x:c>
      <x:c r="H18" s="74" t="str">
        <x:v>TODO-HUMAN-EVIDENCE</x:v>
      </x:c>
      <x:c r="I18" s="74" t="str">
        <x:v>TODO-HUMAN-EVIDENCE</x:v>
      </x:c>
      <x:c r="J18" s="74" t="str">
        <x:v>BLOCKED</x:v>
      </x:c>
      <x:c r="K18" s="74" t="str">
        <x:v>TODO-HUMAN-EVIDENCE</x:v>
      </x:c>
      <x:c r="L18" s="74" t="str">
        <x:v>TODO-HUMAN-EVIDENCE</x:v>
      </x:c>
    </x:row>
    <x:row r="19" ht="34" customHeight="1">
      <x:c r="A19" s="74" t="str">
        <x:f>'Master Checklist'!A19</x:f>
        <x:v>IA01-14</x:v>
      </x:c>
      <x:c r="B19" s="74" t="str">
        <x:f>'Master Checklist'!B19</x:f>
        <x:v>IA-01 General UI</x:v>
      </x:c>
      <x:c r="C19" s="74" t="str">
        <x:f>'Master Checklist'!C19</x:f>
        <x:v>Content remains readable and operable when browser zoom is increased and when long translated text is displayed.</x:v>
      </x:c>
      <x:c r="D19" s="74" t="str">
        <x:v>BLOCKED</x:v>
      </x:c>
      <x:c r="E19" s="74" t="str">
        <x:v>TODO-HUMAN-EVIDENCE</x:v>
      </x:c>
      <x:c r="F19" s="74" t="str">
        <x:v>TODO-HUMAN-EVIDENCE</x:v>
      </x:c>
      <x:c r="G19" s="74" t="str">
        <x:v>BLOCKED</x:v>
      </x:c>
      <x:c r="H19" s="74" t="str">
        <x:v>TODO-HUMAN-EVIDENCE</x:v>
      </x:c>
      <x:c r="I19" s="74" t="str">
        <x:v>TODO-HUMAN-EVIDENCE</x:v>
      </x:c>
      <x:c r="J19" s="74" t="str">
        <x:v>BLOCKED</x:v>
      </x:c>
      <x:c r="K19" s="74" t="str">
        <x:v>TODO-HUMAN-EVIDENCE</x:v>
      </x:c>
      <x:c r="L19" s="74" t="str">
        <x:v>TODO-HUMAN-EVIDENCE</x:v>
      </x:c>
    </x:row>
    <x:row r="20" ht="34" customHeight="1">
      <x:c r="A20" s="74" t="str">
        <x:f>'Master Checklist'!A20</x:f>
        <x:v>IA02-01</x:v>
      </x:c>
      <x:c r="B20" s="74" t="str">
        <x:f>'Master Checklist'!B20</x:f>
        <x:v>IA-02 Forms</x:v>
      </x:c>
      <x:c r="C20" s="74" t="str">
        <x:f>'Master Checklist'!C20</x:f>
        <x:v>Every input has a persistent, descriptive, programmatically associated label; placeholder text is not the only label.</x:v>
      </x:c>
      <x:c r="D20" s="74" t="str">
        <x:v>BLOCKED</x:v>
      </x:c>
      <x:c r="E20" s="74" t="str">
        <x:v>TODO-HUMAN-EVIDENCE</x:v>
      </x:c>
      <x:c r="F20" s="74" t="str">
        <x:v>TODO-HUMAN-EVIDENCE</x:v>
      </x:c>
      <x:c r="G20" s="74" t="str">
        <x:v>BLOCKED</x:v>
      </x:c>
      <x:c r="H20" s="74" t="str">
        <x:v>TODO-HUMAN-EVIDENCE</x:v>
      </x:c>
      <x:c r="I20" s="74" t="str">
        <x:v>TODO-HUMAN-EVIDENCE</x:v>
      </x:c>
      <x:c r="J20" s="74" t="str">
        <x:v>BLOCKED</x:v>
      </x:c>
      <x:c r="K20" s="74" t="str">
        <x:v>TODO-HUMAN-EVIDENCE</x:v>
      </x:c>
      <x:c r="L20" s="74" t="str">
        <x:v>TODO-HUMAN-EVIDENCE</x:v>
      </x:c>
    </x:row>
    <x:row r="21" ht="34" customHeight="1">
      <x:c r="A21" s="74" t="str">
        <x:f>'Master Checklist'!A21</x:f>
        <x:v>IA02-02</x:v>
      </x:c>
      <x:c r="B21" s="74" t="str">
        <x:f>'Master Checklist'!B21</x:f>
        <x:v>IA-02 Forms</x:v>
      </x:c>
      <x:c r="C21" s="74" t="str">
        <x:f>'Master Checklist'!C21</x:f>
        <x:v>Required fields are clearly marked in text/symbol and exposed programmatically before submission.</x:v>
      </x:c>
      <x:c r="D21" s="74" t="str">
        <x:v>BLOCKED</x:v>
      </x:c>
      <x:c r="E21" s="74" t="str">
        <x:v>TODO-HUMAN-EVIDENCE</x:v>
      </x:c>
      <x:c r="F21" s="74" t="str">
        <x:v>TODO-HUMAN-EVIDENCE</x:v>
      </x:c>
      <x:c r="G21" s="74" t="str">
        <x:v>BLOCKED</x:v>
      </x:c>
      <x:c r="H21" s="74" t="str">
        <x:v>TODO-HUMAN-EVIDENCE</x:v>
      </x:c>
      <x:c r="I21" s="74" t="str">
        <x:v>TODO-HUMAN-EVIDENCE</x:v>
      </x:c>
      <x:c r="J21" s="74" t="str">
        <x:v>BLOCKED</x:v>
      </x:c>
      <x:c r="K21" s="74" t="str">
        <x:v>TODO-HUMAN-EVIDENCE</x:v>
      </x:c>
      <x:c r="L21" s="74" t="str">
        <x:v>TODO-HUMAN-EVIDENCE</x:v>
      </x:c>
    </x:row>
    <x:row r="22" ht="34" customHeight="1">
      <x:c r="A22" s="74" t="str">
        <x:f>'Master Checklist'!A22</x:f>
        <x:v>IA02-03</x:v>
      </x:c>
      <x:c r="B22" s="74" t="str">
        <x:f>'Master Checklist'!B22</x:f>
        <x:v>IA-02 Forms</x:v>
      </x:c>
      <x:c r="C22" s="74" t="str">
        <x:f>'Master Checklist'!C22</x:f>
        <x:v>Input format, allowed values, limits, and examples are shown before entry for fields with password rules, max length/slots, date/time patterns, upload types, or numeric ranges.</x:v>
      </x:c>
      <x:c r="D22" s="74" t="str">
        <x:v>BLOCKED</x:v>
      </x:c>
      <x:c r="E22" s="74" t="str">
        <x:v>TODO-HUMAN-EVIDENCE</x:v>
      </x:c>
      <x:c r="F22" s="74" t="str">
        <x:v>TODO-HUMAN-EVIDENCE</x:v>
      </x:c>
      <x:c r="G22" s="74" t="str">
        <x:v>BLOCKED</x:v>
      </x:c>
      <x:c r="H22" s="74" t="str">
        <x:v>TODO-HUMAN-EVIDENCE</x:v>
      </x:c>
      <x:c r="I22" s="74" t="str">
        <x:v>TODO-HUMAN-EVIDENCE</x:v>
      </x:c>
      <x:c r="J22" s="74" t="str">
        <x:v>BLOCKED</x:v>
      </x:c>
      <x:c r="K22" s="74" t="str">
        <x:v>TODO-HUMAN-EVIDENCE</x:v>
      </x:c>
      <x:c r="L22" s="74" t="str">
        <x:v>TODO-HUMAN-EVIDENCE</x:v>
      </x:c>
    </x:row>
    <x:row r="23" ht="34" customHeight="1">
      <x:c r="A23" s="74" t="str">
        <x:f>'Master Checklist'!A23</x:f>
        <x:v>IA02-04</x:v>
      </x:c>
      <x:c r="B23" s="74" t="str">
        <x:f>'Master Checklist'!B23</x:f>
        <x:v>IA-02 Forms</x:v>
      </x:c>
      <x:c r="C23" s="74" t="str">
        <x:f>'Master Checklist'!C23</x:f>
        <x:v>Form controls follow a logical keyboard order and each focused field/control has a visible focus indicator.</x:v>
      </x:c>
      <x:c r="D23" s="74" t="str">
        <x:v>BLOCKED</x:v>
      </x:c>
      <x:c r="E23" s="74" t="str">
        <x:v>TODO-HUMAN-EVIDENCE</x:v>
      </x:c>
      <x:c r="F23" s="74" t="str">
        <x:v>TODO-HUMAN-EVIDENCE</x:v>
      </x:c>
      <x:c r="G23" s="74" t="str">
        <x:v>BLOCKED</x:v>
      </x:c>
      <x:c r="H23" s="74" t="str">
        <x:v>TODO-HUMAN-EVIDENCE</x:v>
      </x:c>
      <x:c r="I23" s="74" t="str">
        <x:v>TODO-HUMAN-EVIDENCE</x:v>
      </x:c>
      <x:c r="J23" s="74" t="str">
        <x:v>BLOCKED</x:v>
      </x:c>
      <x:c r="K23" s="74" t="str">
        <x:v>TODO-HUMAN-EVIDENCE</x:v>
      </x:c>
      <x:c r="L23" s="74" t="str">
        <x:v>TODO-HUMAN-EVIDENCE</x:v>
      </x:c>
    </x:row>
    <x:row r="24" ht="34" customHeight="1">
      <x:c r="A24" s="74" t="str">
        <x:f>'Master Checklist'!A24</x:f>
        <x:v>IA02-05</x:v>
      </x:c>
      <x:c r="B24" s="74" t="str">
        <x:f>'Master Checklist'!B24</x:f>
        <x:v>IA-02 Forms</x:v>
      </x:c>
      <x:c r="C24" s="74" t="str">
        <x:f>'Master Checklist'!C24</x:f>
        <x:v>Input type, keyboard, autocomplete, masking, and password visibility behavior suit the requested data.</x:v>
      </x:c>
      <x:c r="D24" s="74" t="str">
        <x:v>BLOCKED</x:v>
      </x:c>
      <x:c r="E24" s="74" t="str">
        <x:v>TODO-HUMAN-EVIDENCE</x:v>
      </x:c>
      <x:c r="F24" s="74" t="str">
        <x:v>TODO-HUMAN-EVIDENCE</x:v>
      </x:c>
      <x:c r="G24" s="74" t="str">
        <x:v>BLOCKED</x:v>
      </x:c>
      <x:c r="H24" s="74" t="str">
        <x:v>TODO-HUMAN-EVIDENCE</x:v>
      </x:c>
      <x:c r="I24" s="74" t="str">
        <x:v>TODO-HUMAN-EVIDENCE</x:v>
      </x:c>
      <x:c r="J24" s="74" t="str">
        <x:v>BLOCKED</x:v>
      </x:c>
      <x:c r="K24" s="74" t="str">
        <x:v>TODO-HUMAN-EVIDENCE</x:v>
      </x:c>
      <x:c r="L24" s="74" t="str">
        <x:v>TODO-HUMAN-EVIDENCE</x:v>
      </x:c>
    </x:row>
    <x:row r="25" ht="34" customHeight="1">
      <x:c r="A25" s="74" t="str">
        <x:f>'Master Checklist'!A25</x:f>
        <x:v>IA02-06</x:v>
      </x:c>
      <x:c r="B25" s="74" t="str">
        <x:f>'Master Checklist'!B25</x:f>
        <x:v>IA-02 Forms</x:v>
      </x:c>
      <x:c r="C25" s="74" t="str">
        <x:f>'Master Checklist'!C25</x:f>
        <x:v>Validation occurs at an appropriate time and does not interrupt typing or show errors before the user can act.</x:v>
      </x:c>
      <x:c r="D25" s="74" t="str">
        <x:v>BLOCKED</x:v>
      </x:c>
      <x:c r="E25" s="74" t="str">
        <x:v>TODO-HUMAN-EVIDENCE</x:v>
      </x:c>
      <x:c r="F25" s="74" t="str">
        <x:v>TODO-HUMAN-EVIDENCE</x:v>
      </x:c>
      <x:c r="G25" s="74" t="str">
        <x:v>BLOCKED</x:v>
      </x:c>
      <x:c r="H25" s="74" t="str">
        <x:v>TODO-HUMAN-EVIDENCE</x:v>
      </x:c>
      <x:c r="I25" s="74" t="str">
        <x:v>TODO-HUMAN-EVIDENCE</x:v>
      </x:c>
      <x:c r="J25" s="74" t="str">
        <x:v>BLOCKED</x:v>
      </x:c>
      <x:c r="K25" s="74" t="str">
        <x:v>TODO-HUMAN-EVIDENCE</x:v>
      </x:c>
      <x:c r="L25" s="74" t="str">
        <x:v>TODO-HUMAN-EVIDENCE</x:v>
      </x:c>
    </x:row>
    <x:row r="26" ht="34" customHeight="1">
      <x:c r="A26" s="74" t="str">
        <x:f>'Master Checklist'!A26</x:f>
        <x:v>IA02-07</x:v>
      </x:c>
      <x:c r="B26" s="74" t="str">
        <x:f>'Master Checklist'!B26</x:f>
        <x:v>IA-02 Forms</x:v>
      </x:c>
      <x:c r="C26" s="74" t="str">
        <x:f>'Master Checklist'!C26</x:f>
        <x:v>Each validation error is specific, written in plain language, placed near the relevant field, and not conveyed by color alone. Mark Pass only if all four conditions hold</x:v>
      </x:c>
      <x:c r="D26" s="74" t="str">
        <x:v>BLOCKED</x:v>
      </x:c>
      <x:c r="E26" s="74" t="str">
        <x:v>TODO-HUMAN-EVIDENCE</x:v>
      </x:c>
      <x:c r="F26" s="74" t="str">
        <x:v>TODO-HUMAN-EVIDENCE</x:v>
      </x:c>
      <x:c r="G26" s="74" t="str">
        <x:v>BLOCKED</x:v>
      </x:c>
      <x:c r="H26" s="74" t="str">
        <x:v>TODO-HUMAN-EVIDENCE</x:v>
      </x:c>
      <x:c r="I26" s="74" t="str">
        <x:v>TODO-HUMAN-EVIDENCE</x:v>
      </x:c>
      <x:c r="J26" s="74" t="str">
        <x:v>BLOCKED</x:v>
      </x:c>
      <x:c r="K26" s="74" t="str">
        <x:v>TODO-HUMAN-EVIDENCE</x:v>
      </x:c>
      <x:c r="L26" s="74" t="str">
        <x:v>TODO-HUMAN-EVIDENCE</x:v>
      </x:c>
    </x:row>
    <x:row r="27" ht="34" customHeight="1">
      <x:c r="A27" s="74" t="str">
        <x:f>'Master Checklist'!A27</x:f>
        <x:v>IA02-08</x:v>
      </x:c>
      <x:c r="B27" s="74" t="str">
        <x:f>'Master Checklist'!B27</x:f>
        <x:v>IA-02 Forms</x:v>
      </x:c>
      <x:c r="C27" s="74" t="str">
        <x:f>'Master Checklist'!C27</x:f>
        <x:v>After failed submission, focus moves to a useful error location and the user can identify every invalid field. Mark Pass only if both hold.</x:v>
      </x:c>
      <x:c r="D27" s="74" t="str">
        <x:v>BLOCKED</x:v>
      </x:c>
      <x:c r="E27" s="74" t="str">
        <x:v>TODO-HUMAN-EVIDENCE</x:v>
      </x:c>
      <x:c r="F27" s="74" t="str">
        <x:v>TODO-HUMAN-EVIDENCE</x:v>
      </x:c>
      <x:c r="G27" s="74" t="str">
        <x:v>BLOCKED</x:v>
      </x:c>
      <x:c r="H27" s="74" t="str">
        <x:v>TODO-HUMAN-EVIDENCE</x:v>
      </x:c>
      <x:c r="I27" s="74" t="str">
        <x:v>TODO-HUMAN-EVIDENCE</x:v>
      </x:c>
      <x:c r="J27" s="74" t="str">
        <x:v>BLOCKED</x:v>
      </x:c>
      <x:c r="K27" s="74" t="str">
        <x:v>TODO-HUMAN-EVIDENCE</x:v>
      </x:c>
      <x:c r="L27" s="74" t="str">
        <x:v>TODO-HUMAN-EVIDENCE</x:v>
      </x:c>
    </x:row>
    <x:row r="28" ht="34" customHeight="1">
      <x:c r="A28" s="74" t="str">
        <x:f>'Master Checklist'!A28</x:f>
        <x:v>IA02-09</x:v>
      </x:c>
      <x:c r="B28" s="74" t="str">
        <x:f>'Master Checklist'!B28</x:f>
        <x:v>IA-02 Forms</x:v>
      </x:c>
      <x:c r="C28" s="74" t="str">
        <x:f>'Master Checklist'!C28</x:f>
        <x:v>Non-sensitive values remain intact after validation or server errors so the user does not have to re-enter the form.</x:v>
      </x:c>
      <x:c r="D28" s="74" t="str">
        <x:v>BLOCKED</x:v>
      </x:c>
      <x:c r="E28" s="74" t="str">
        <x:v>TODO-HUMAN-EVIDENCE</x:v>
      </x:c>
      <x:c r="F28" s="74" t="str">
        <x:v>TODO-HUMAN-EVIDENCE</x:v>
      </x:c>
      <x:c r="G28" s="74" t="str">
        <x:v>BLOCKED</x:v>
      </x:c>
      <x:c r="H28" s="74" t="str">
        <x:v>TODO-HUMAN-EVIDENCE</x:v>
      </x:c>
      <x:c r="I28" s="74" t="str">
        <x:v>TODO-HUMAN-EVIDENCE</x:v>
      </x:c>
      <x:c r="J28" s="74" t="str">
        <x:v>BLOCKED</x:v>
      </x:c>
      <x:c r="K28" s="74" t="str">
        <x:v>TODO-HUMAN-EVIDENCE</x:v>
      </x:c>
      <x:c r="L28" s="74" t="str">
        <x:v>TODO-HUMAN-EVIDENCE</x:v>
      </x:c>
    </x:row>
    <x:row r="29" ht="34" customHeight="1">
      <x:c r="A29" s="74" t="str">
        <x:f>'Master Checklist'!A29</x:f>
        <x:v>IA02-10</x:v>
      </x:c>
      <x:c r="B29" s="74" t="str">
        <x:f>'Master Checklist'!B29</x:f>
        <x:v>IA-02 Forms</x:v>
      </x:c>
      <x:c r="C29" s="74" t="str">
        <x:f>'Master Checklist'!C29</x:f>
        <x:v>Related date/time fields enforce valid ordering and explain conflicts among registration, event, and check-in periods.</x:v>
      </x:c>
      <x:c r="D29" s="74" t="str">
        <x:v>BLOCKED</x:v>
      </x:c>
      <x:c r="E29" s="74" t="str">
        <x:v>TODO-HUMAN-EVIDENCE</x:v>
      </x:c>
      <x:c r="F29" s="74" t="str">
        <x:v>TODO-HUMAN-EVIDENCE</x:v>
      </x:c>
      <x:c r="G29" s="74" t="str">
        <x:v>BLOCKED</x:v>
      </x:c>
      <x:c r="H29" s="74" t="str">
        <x:v>TODO-HUMAN-EVIDENCE</x:v>
      </x:c>
      <x:c r="I29" s="74" t="str">
        <x:v>TODO-HUMAN-EVIDENCE</x:v>
      </x:c>
      <x:c r="J29" s="74" t="str">
        <x:v>BLOCKED</x:v>
      </x:c>
      <x:c r="K29" s="74" t="str">
        <x:v>TODO-HUMAN-EVIDENCE</x:v>
      </x:c>
      <x:c r="L29" s="74" t="str">
        <x:v>TODO-HUMAN-EVIDENCE</x:v>
      </x:c>
    </x:row>
    <x:row r="30" ht="34" customHeight="1">
      <x:c r="A30" s="74" t="str">
        <x:f>'Master Checklist'!A30</x:f>
        <x:v>IA02-11</x:v>
      </x:c>
      <x:c r="B30" s="74" t="str">
        <x:f>'Master Checklist'!B30</x:f>
        <x:v>IA-02 Forms</x:v>
      </x:c>
      <x:c r="C30" s="74" t="str">
        <x:f>'Master Checklist'!C30</x:f>
        <x:v>File upload shows allowed type, size, count, and aspect ratio; it provides preview, remove/replace, progress, and failure recovery.</x:v>
      </x:c>
      <x:c r="D30" s="74" t="str">
        <x:v>BLOCKED</x:v>
      </x:c>
      <x:c r="E30" s="74" t="str">
        <x:v>TODO-HUMAN-EVIDENCE</x:v>
      </x:c>
      <x:c r="F30" s="74" t="str">
        <x:v>TODO-HUMAN-EVIDENCE</x:v>
      </x:c>
      <x:c r="G30" s="74" t="str">
        <x:v>BLOCKED</x:v>
      </x:c>
      <x:c r="H30" s="74" t="str">
        <x:v>TODO-HUMAN-EVIDENCE</x:v>
      </x:c>
      <x:c r="I30" s="74" t="str">
        <x:v>TODO-HUMAN-EVIDENCE</x:v>
      </x:c>
      <x:c r="J30" s="74" t="str">
        <x:v>BLOCKED</x:v>
      </x:c>
      <x:c r="K30" s="74" t="str">
        <x:v>TODO-HUMAN-EVIDENCE</x:v>
      </x:c>
      <x:c r="L30" s="74" t="str">
        <x:v>TODO-HUMAN-EVIDENCE</x:v>
      </x:c>
    </x:row>
    <x:row r="31" ht="34" customHeight="1">
      <x:c r="A31" s="74" t="str">
        <x:f>'Master Checklist'!A31</x:f>
        <x:v>IA02-12</x:v>
      </x:c>
      <x:c r="B31" s="74" t="str">
        <x:f>'Master Checklist'!B31</x:f>
        <x:v>IA-02 Forms</x:v>
      </x:c>
      <x:c r="C31" s="74" t="str">
        <x:f>'Master Checklist'!C31</x:f>
        <x:v>Rich-text controls have understandable labels, keyboard access, predictable formatting, and a reliable preview/output state.</x:v>
      </x:c>
      <x:c r="D31" s="74" t="str">
        <x:v>BLOCKED</x:v>
      </x:c>
      <x:c r="E31" s="74" t="str">
        <x:v>TODO-HUMAN-EVIDENCE</x:v>
      </x:c>
      <x:c r="F31" s="74" t="str">
        <x:v>TODO-HUMAN-EVIDENCE</x:v>
      </x:c>
      <x:c r="G31" s="74" t="str">
        <x:v>BLOCKED</x:v>
      </x:c>
      <x:c r="H31" s="74" t="str">
        <x:v>TODO-HUMAN-EVIDENCE</x:v>
      </x:c>
      <x:c r="I31" s="74" t="str">
        <x:v>TODO-HUMAN-EVIDENCE</x:v>
      </x:c>
      <x:c r="J31" s="74" t="str">
        <x:v>BLOCKED</x:v>
      </x:c>
      <x:c r="K31" s="74" t="str">
        <x:v>TODO-HUMAN-EVIDENCE</x:v>
      </x:c>
      <x:c r="L31" s="74" t="str">
        <x:v>TODO-HUMAN-EVIDENCE</x:v>
      </x:c>
    </x:row>
    <x:row r="32" ht="34" customHeight="1">
      <x:c r="A32" s="74" t="str">
        <x:f>'Master Checklist'!A32</x:f>
        <x:v>IA02-13</x:v>
      </x:c>
      <x:c r="B32" s="74" t="str">
        <x:f>'Master Checklist'!B32</x:f>
        <x:v>IA-02 Forms</x:v>
      </x:c>
      <x:c r="C32" s="74" t="str">
        <x:f>'Master Checklist'!C32</x:f>
        <x:v>Role selectors, toggles, radio buttons, checkboxes, and dependent fields clearly show selection and enforce mutual-exclusion/dependency rules.</x:v>
      </x:c>
      <x:c r="D32" s="74" t="str">
        <x:v>BLOCKED</x:v>
      </x:c>
      <x:c r="E32" s="74" t="str">
        <x:v>TODO-HUMAN-EVIDENCE</x:v>
      </x:c>
      <x:c r="F32" s="74" t="str">
        <x:v>TODO-HUMAN-EVIDENCE</x:v>
      </x:c>
      <x:c r="G32" s="74" t="str">
        <x:v>BLOCKED</x:v>
      </x:c>
      <x:c r="H32" s="74" t="str">
        <x:v>TODO-HUMAN-EVIDENCE</x:v>
      </x:c>
      <x:c r="I32" s="74" t="str">
        <x:v>TODO-HUMAN-EVIDENCE</x:v>
      </x:c>
      <x:c r="J32" s="74" t="str">
        <x:v>BLOCKED</x:v>
      </x:c>
      <x:c r="K32" s="74" t="str">
        <x:v>TODO-HUMAN-EVIDENCE</x:v>
      </x:c>
      <x:c r="L32" s="74" t="str">
        <x:v>TODO-HUMAN-EVIDENCE</x:v>
      </x:c>
    </x:row>
    <x:row r="33" ht="34" customHeight="1">
      <x:c r="A33" s="74" t="str">
        <x:f>'Master Checklist'!A33</x:f>
        <x:v>IA02-14</x:v>
      </x:c>
      <x:c r="B33" s="74" t="str">
        <x:f>'Master Checklist'!B33</x:f>
        <x:v>IA-02 Forms</x:v>
      </x:c>
      <x:c r="C33" s="74" t="str">
        <x:f>'Master Checklist'!C33</x:f>
        <x:v>Submit/save/publish controls prevent duplicate submission, show progress, and explain why they are disabled when prerequisites are unmet.</x:v>
      </x:c>
      <x:c r="D33" s="74" t="str">
        <x:v>BLOCKED</x:v>
      </x:c>
      <x:c r="E33" s="74" t="str">
        <x:v>TODO-HUMAN-EVIDENCE</x:v>
      </x:c>
      <x:c r="F33" s="74" t="str">
        <x:v>TODO-HUMAN-EVIDENCE</x:v>
      </x:c>
      <x:c r="G33" s="74" t="str">
        <x:v>BLOCKED</x:v>
      </x:c>
      <x:c r="H33" s="74" t="str">
        <x:v>TODO-HUMAN-EVIDENCE</x:v>
      </x:c>
      <x:c r="I33" s="74" t="str">
        <x:v>TODO-HUMAN-EVIDENCE</x:v>
      </x:c>
      <x:c r="J33" s="74" t="str">
        <x:v>BLOCKED</x:v>
      </x:c>
      <x:c r="K33" s="74" t="str">
        <x:v>TODO-HUMAN-EVIDENCE</x:v>
      </x:c>
      <x:c r="L33" s="74" t="str">
        <x:v>TODO-HUMAN-EVIDENCE</x:v>
      </x:c>
    </x:row>
    <x:row r="34" ht="34" customHeight="1">
      <x:c r="A34" s="74" t="str">
        <x:f>'Master Checklist'!A34</x:f>
        <x:v>IA03-01</x:v>
      </x:c>
      <x:c r="B34" s="74" t="str">
        <x:f>'Master Checklist'!B34</x:f>
        <x:v>IA-03 Navigation</x:v>
      </x:c>
      <x:c r="C34" s="74" t="str">
        <x:f>'Master Checklist'!C34</x:f>
        <x:v>Global navigation, header, sidebar, and user menu remain consistent across screens and roles.</x:v>
      </x:c>
      <x:c r="D34" s="74" t="str">
        <x:v>BLOCKED</x:v>
      </x:c>
      <x:c r="E34" s="74" t="str">
        <x:v>TODO-HUMAN-EVIDENCE</x:v>
      </x:c>
      <x:c r="F34" s="74" t="str">
        <x:v>TODO-HUMAN-EVIDENCE</x:v>
      </x:c>
      <x:c r="G34" s="74" t="str">
        <x:v>BLOCKED</x:v>
      </x:c>
      <x:c r="H34" s="74" t="str">
        <x:v>TODO-HUMAN-EVIDENCE</x:v>
      </x:c>
      <x:c r="I34" s="74" t="str">
        <x:v>TODO-HUMAN-EVIDENCE</x:v>
      </x:c>
      <x:c r="J34" s="74" t="str">
        <x:v>BLOCKED</x:v>
      </x:c>
      <x:c r="K34" s="74" t="str">
        <x:v>TODO-HUMAN-EVIDENCE</x:v>
      </x:c>
      <x:c r="L34" s="74" t="str">
        <x:v>TODO-HUMAN-EVIDENCE</x:v>
      </x:c>
    </x:row>
    <x:row r="35" ht="34" customHeight="1">
      <x:c r="A35" s="74" t="str">
        <x:f>'Master Checklist'!A35</x:f>
        <x:v>IA03-02</x:v>
      </x:c>
      <x:c r="B35" s="74" t="str">
        <x:f>'Master Checklist'!B35</x:f>
        <x:v>IA-03 Navigation</x:v>
      </x:c>
      <x:c r="C35" s="74" t="str">
        <x:f>'Master Checklist'!C35</x:f>
        <x:v>The current location is clearly indicated through active navigation, heading, breadcrumb, tab, or another visible cue.</x:v>
      </x:c>
      <x:c r="D35" s="74" t="str">
        <x:v>BLOCKED</x:v>
      </x:c>
      <x:c r="E35" s="74" t="str">
        <x:v>TODO-HUMAN-EVIDENCE</x:v>
      </x:c>
      <x:c r="F35" s="74" t="str">
        <x:v>TODO-HUMAN-EVIDENCE</x:v>
      </x:c>
      <x:c r="G35" s="74" t="str">
        <x:v>BLOCKED</x:v>
      </x:c>
      <x:c r="H35" s="74" t="str">
        <x:v>TODO-HUMAN-EVIDENCE</x:v>
      </x:c>
      <x:c r="I35" s="74" t="str">
        <x:v>TODO-HUMAN-EVIDENCE</x:v>
      </x:c>
      <x:c r="J35" s="74" t="str">
        <x:v>BLOCKED</x:v>
      </x:c>
      <x:c r="K35" s="74" t="str">
        <x:v>TODO-HUMAN-EVIDENCE</x:v>
      </x:c>
      <x:c r="L35" s="74" t="str">
        <x:v>TODO-HUMAN-EVIDENCE</x:v>
      </x:c>
    </x:row>
    <x:row r="36" ht="34" customHeight="1">
      <x:c r="A36" s="74" t="str">
        <x:f>'Master Checklist'!A36</x:f>
        <x:v>IA03-03</x:v>
      </x:c>
      <x:c r="B36" s="74" t="str">
        <x:f>'Master Checklist'!B36</x:f>
        <x:v>IA-03 Navigation</x:v>
      </x:c>
      <x:c r="C36" s="74" t="str">
        <x:f>'Master Checklist'!C36</x:f>
        <x:v>Links navigate and buttons perform actions; labels accurately predict the destination or action.</x:v>
      </x:c>
      <x:c r="D36" s="74" t="str">
        <x:v>BLOCKED</x:v>
      </x:c>
      <x:c r="E36" s="74" t="str">
        <x:v>TODO-HUMAN-EVIDENCE</x:v>
      </x:c>
      <x:c r="F36" s="74" t="str">
        <x:v>TODO-HUMAN-EVIDENCE</x:v>
      </x:c>
      <x:c r="G36" s="74" t="str">
        <x:v>BLOCKED</x:v>
      </x:c>
      <x:c r="H36" s="74" t="str">
        <x:v>TODO-HUMAN-EVIDENCE</x:v>
      </x:c>
      <x:c r="I36" s="74" t="str">
        <x:v>TODO-HUMAN-EVIDENCE</x:v>
      </x:c>
      <x:c r="J36" s="74" t="str">
        <x:v>BLOCKED</x:v>
      </x:c>
      <x:c r="K36" s="74" t="str">
        <x:v>TODO-HUMAN-EVIDENCE</x:v>
      </x:c>
      <x:c r="L36" s="74" t="str">
        <x:v>TODO-HUMAN-EVIDENCE</x:v>
      </x:c>
    </x:row>
    <x:row r="37" ht="34" customHeight="1">
      <x:c r="A37" s="74" t="str">
        <x:f>'Master Checklist'!A37</x:f>
        <x:v>IA03-04</x:v>
      </x:c>
      <x:c r="B37" s="74" t="str">
        <x:f>'Master Checklist'!B37</x:f>
        <x:v>IA-03 Navigation</x:v>
      </x:c>
      <x:c r="C37" s="74" t="str">
        <x:f>'Master Checklist'!C37</x:f>
        <x:v>Back, Cancel, Close, and Return actions lead to a predictable prior context without losing data unexpectedly.</x:v>
      </x:c>
      <x:c r="D37" s="74" t="str">
        <x:v>BLOCKED</x:v>
      </x:c>
      <x:c r="E37" s="74" t="str">
        <x:v>TODO-HUMAN-EVIDENCE</x:v>
      </x:c>
      <x:c r="F37" s="74" t="str">
        <x:v>TODO-HUMAN-EVIDENCE</x:v>
      </x:c>
      <x:c r="G37" s="74" t="str">
        <x:v>BLOCKED</x:v>
      </x:c>
      <x:c r="H37" s="74" t="str">
        <x:v>TODO-HUMAN-EVIDENCE</x:v>
      </x:c>
      <x:c r="I37" s="74" t="str">
        <x:v>TODO-HUMAN-EVIDENCE</x:v>
      </x:c>
      <x:c r="J37" s="74" t="str">
        <x:v>BLOCKED</x:v>
      </x:c>
      <x:c r="K37" s="74" t="str">
        <x:v>TODO-HUMAN-EVIDENCE</x:v>
      </x:c>
      <x:c r="L37" s="74" t="str">
        <x:v>TODO-HUMAN-EVIDENCE</x:v>
      </x:c>
    </x:row>
    <x:row r="38" ht="34" customHeight="1">
      <x:c r="A38" s="74" t="str">
        <x:f>'Master Checklist'!A38</x:f>
        <x:v>IA03-05</x:v>
      </x:c>
      <x:c r="B38" s="74" t="str">
        <x:f>'Master Checklist'!B38</x:f>
        <x:v>IA-03 Navigation</x:v>
      </x:c>
      <x:c r="C38" s="74" t="str">
        <x:f>'Master Checklist'!C38</x:f>
        <x:v>Deep links open the intended screen after authentication; invalid, expired, or unauthorized links provide a safe recovery path.</x:v>
      </x:c>
      <x:c r="D38" s="74" t="str">
        <x:v>BLOCKED</x:v>
      </x:c>
      <x:c r="E38" s="74" t="str">
        <x:v>TODO-HUMAN-EVIDENCE</x:v>
      </x:c>
      <x:c r="F38" s="74" t="str">
        <x:v>TODO-HUMAN-EVIDENCE</x:v>
      </x:c>
      <x:c r="G38" s="74" t="str">
        <x:v>BLOCKED</x:v>
      </x:c>
      <x:c r="H38" s="74" t="str">
        <x:v>TODO-HUMAN-EVIDENCE</x:v>
      </x:c>
      <x:c r="I38" s="74" t="str">
        <x:v>TODO-HUMAN-EVIDENCE</x:v>
      </x:c>
      <x:c r="J38" s="74" t="str">
        <x:v>BLOCKED</x:v>
      </x:c>
      <x:c r="K38" s="74" t="str">
        <x:v>TODO-HUMAN-EVIDENCE</x:v>
      </x:c>
      <x:c r="L38" s="74" t="str">
        <x:v>TODO-HUMAN-EVIDENCE</x:v>
      </x:c>
    </x:row>
    <x:row r="39" ht="34" customHeight="1">
      <x:c r="A39" s="74" t="str">
        <x:f>'Master Checklist'!A39</x:f>
        <x:v>IA03-06</x:v>
      </x:c>
      <x:c r="B39" s="74" t="str">
        <x:f>'Master Checklist'!B39</x:f>
        <x:v>IA-03 Navigation</x:v>
      </x:c>
      <x:c r="C39" s="74" t="str">
        <x:f>'Master Checklist'!C39</x:f>
        <x:v>Tabs and status filters show the selected state, update the correct content, and preserve a meaningful history/location.</x:v>
      </x:c>
      <x:c r="D39" s="74" t="str">
        <x:v>BLOCKED</x:v>
      </x:c>
      <x:c r="E39" s="74" t="str">
        <x:v>TODO-HUMAN-EVIDENCE</x:v>
      </x:c>
      <x:c r="F39" s="74" t="str">
        <x:v>TODO-HUMAN-EVIDENCE</x:v>
      </x:c>
      <x:c r="G39" s="74" t="str">
        <x:v>BLOCKED</x:v>
      </x:c>
      <x:c r="H39" s="74" t="str">
        <x:v>TODO-HUMAN-EVIDENCE</x:v>
      </x:c>
      <x:c r="I39" s="74" t="str">
        <x:v>TODO-HUMAN-EVIDENCE</x:v>
      </x:c>
      <x:c r="J39" s="74" t="str">
        <x:v>BLOCKED</x:v>
      </x:c>
      <x:c r="K39" s="74" t="str">
        <x:v>TODO-HUMAN-EVIDENCE</x:v>
      </x:c>
      <x:c r="L39" s="74" t="str">
        <x:v>TODO-HUMAN-EVIDENCE</x:v>
      </x:c>
    </x:row>
    <x:row r="40" ht="34" customHeight="1">
      <x:c r="A40" s="74" t="str">
        <x:f>'Master Checklist'!A40</x:f>
        <x:v>IA03-07</x:v>
      </x:c>
      <x:c r="B40" s="74" t="str">
        <x:f>'Master Checklist'!B40</x:f>
        <x:v>IA-03 Navigation</x:v>
      </x:c>
      <x:c r="C40" s="74" t="str">
        <x:f>'Master Checklist'!C40</x:f>
        <x:v>Search and filters have clear labels, visible applied state, result count/empty state, Clear action, and predictable persistence.</x:v>
      </x:c>
      <x:c r="D40" s="74" t="str">
        <x:v>BLOCKED</x:v>
      </x:c>
      <x:c r="E40" s="74" t="str">
        <x:v>TODO-HUMAN-EVIDENCE</x:v>
      </x:c>
      <x:c r="F40" s="74" t="str">
        <x:v>TODO-HUMAN-EVIDENCE</x:v>
      </x:c>
      <x:c r="G40" s="74" t="str">
        <x:v>BLOCKED</x:v>
      </x:c>
      <x:c r="H40" s="74" t="str">
        <x:v>TODO-HUMAN-EVIDENCE</x:v>
      </x:c>
      <x:c r="I40" s="74" t="str">
        <x:v>TODO-HUMAN-EVIDENCE</x:v>
      </x:c>
      <x:c r="J40" s="74" t="str">
        <x:v>BLOCKED</x:v>
      </x:c>
      <x:c r="K40" s="74" t="str">
        <x:v>TODO-HUMAN-EVIDENCE</x:v>
      </x:c>
      <x:c r="L40" s="74" t="str">
        <x:v>TODO-HUMAN-EVIDENCE</x:v>
      </x:c>
    </x:row>
    <x:row r="41" ht="34" customHeight="1">
      <x:c r="A41" s="74" t="str">
        <x:f>'Master Checklist'!A41</x:f>
        <x:v>IA03-08</x:v>
      </x:c>
      <x:c r="B41" s="74" t="str">
        <x:f>'Master Checklist'!B41</x:f>
        <x:v>IA-03 Navigation</x:v>
      </x:c>
      <x:c r="C41" s="74" t="str">
        <x:f>'Master Checklist'!C41</x:f>
        <x:v>All essential navigation can be completed with keyboard only, with no keyboard trap and a logical focus order.</x:v>
      </x:c>
      <x:c r="D41" s="74" t="str">
        <x:v>BLOCKED</x:v>
      </x:c>
      <x:c r="E41" s="74" t="str">
        <x:v>TODO-HUMAN-EVIDENCE</x:v>
      </x:c>
      <x:c r="F41" s="74" t="str">
        <x:v>TODO-HUMAN-EVIDENCE</x:v>
      </x:c>
      <x:c r="G41" s="74" t="str">
        <x:v>BLOCKED</x:v>
      </x:c>
      <x:c r="H41" s="74" t="str">
        <x:v>TODO-HUMAN-EVIDENCE</x:v>
      </x:c>
      <x:c r="I41" s="74" t="str">
        <x:v>TODO-HUMAN-EVIDENCE</x:v>
      </x:c>
      <x:c r="J41" s="74" t="str">
        <x:v>BLOCKED</x:v>
      </x:c>
      <x:c r="K41" s="74" t="str">
        <x:v>TODO-HUMAN-EVIDENCE</x:v>
      </x:c>
      <x:c r="L41" s="74" t="str">
        <x:v>TODO-HUMAN-EVIDENCE</x:v>
      </x:c>
    </x:row>
    <x:row r="42" ht="34" customHeight="1">
      <x:c r="A42" s="74" t="str">
        <x:f>'Master Checklist'!A42</x:f>
        <x:v>IA03-09</x:v>
      </x:c>
      <x:c r="B42" s="74" t="str">
        <x:f>'Master Checklist'!B42</x:f>
        <x:v>IA-03 Navigation</x:v>
      </x:c>
      <x:c r="C42" s="74" t="str">
        <x:f>'Master Checklist'!C42</x:f>
        <x:v>Opening and closing a modal, drawer, menu, or lightbox moves and restores focus to a logical control.</x:v>
      </x:c>
      <x:c r="D42" s="74" t="str">
        <x:v>BLOCKED</x:v>
      </x:c>
      <x:c r="E42" s="74" t="str">
        <x:v>TODO-HUMAN-EVIDENCE</x:v>
      </x:c>
      <x:c r="F42" s="74" t="str">
        <x:v>TODO-HUMAN-EVIDENCE</x:v>
      </x:c>
      <x:c r="G42" s="74" t="str">
        <x:v>BLOCKED</x:v>
      </x:c>
      <x:c r="H42" s="74" t="str">
        <x:v>TODO-HUMAN-EVIDENCE</x:v>
      </x:c>
      <x:c r="I42" s="74" t="str">
        <x:v>TODO-HUMAN-EVIDENCE</x:v>
      </x:c>
      <x:c r="J42" s="74" t="str">
        <x:v>BLOCKED</x:v>
      </x:c>
      <x:c r="K42" s="74" t="str">
        <x:v>TODO-HUMAN-EVIDENCE</x:v>
      </x:c>
      <x:c r="L42" s="74" t="str">
        <x:v>TODO-HUMAN-EVIDENCE</x:v>
      </x:c>
    </x:row>
    <x:row r="43" ht="34" customHeight="1">
      <x:c r="A43" s="74" t="str">
        <x:f>'Master Checklist'!A43</x:f>
        <x:v>IA03-10</x:v>
      </x:c>
      <x:c r="B43" s="74" t="str">
        <x:f>'Master Checklist'!B43</x:f>
        <x:v>IA-03 Navigation</x:v>
      </x:c>
      <x:c r="C43" s="74" t="str">
        <x:f>'Master Checklist'!C43</x:f>
        <x:v>Menus and overlays support expected dismissal methods such as Escape, explicit Close/Cancel, and safe outside-click behavior.</x:v>
      </x:c>
      <x:c r="D43" s="74" t="str">
        <x:v>BLOCKED</x:v>
      </x:c>
      <x:c r="E43" s="74" t="str">
        <x:v>TODO-HUMAN-EVIDENCE</x:v>
      </x:c>
      <x:c r="F43" s="74" t="str">
        <x:v>TODO-HUMAN-EVIDENCE</x:v>
      </x:c>
      <x:c r="G43" s="74" t="str">
        <x:v>BLOCKED</x:v>
      </x:c>
      <x:c r="H43" s="74" t="str">
        <x:v>TODO-HUMAN-EVIDENCE</x:v>
      </x:c>
      <x:c r="I43" s="74" t="str">
        <x:v>TODO-HUMAN-EVIDENCE</x:v>
      </x:c>
      <x:c r="J43" s="74" t="str">
        <x:v>BLOCKED</x:v>
      </x:c>
      <x:c r="K43" s="74" t="str">
        <x:v>TODO-HUMAN-EVIDENCE</x:v>
      </x:c>
      <x:c r="L43" s="74" t="str">
        <x:v>TODO-HUMAN-EVIDENCE</x:v>
      </x:c>
    </x:row>
    <x:row r="44" ht="34" customHeight="1">
      <x:c r="A44" s="74" t="str">
        <x:f>'Master Checklist'!A44</x:f>
        <x:v>IA03-11</x:v>
      </x:c>
      <x:c r="B44" s="74" t="str">
        <x:f>'Master Checklist'!B44</x:f>
        <x:v>IA-03 Navigation</x:v>
      </x:c>
      <x:c r="C44" s="74" t="str">
        <x:f>'Master Checklist'!C44</x:f>
        <x:v>Drag-and-drop reordering has visible drop feedback, error recovery, and an alternative for users who cannot drag.</x:v>
      </x:c>
      <x:c r="D44" s="74" t="str">
        <x:v>BLOCKED</x:v>
      </x:c>
      <x:c r="E44" s="74" t="str">
        <x:v>TODO-HUMAN-EVIDENCE</x:v>
      </x:c>
      <x:c r="F44" s="74" t="str">
        <x:v>TODO-HUMAN-EVIDENCE</x:v>
      </x:c>
      <x:c r="G44" s="74" t="str">
        <x:v>BLOCKED</x:v>
      </x:c>
      <x:c r="H44" s="74" t="str">
        <x:v>TODO-HUMAN-EVIDENCE</x:v>
      </x:c>
      <x:c r="I44" s="74" t="str">
        <x:v>TODO-HUMAN-EVIDENCE</x:v>
      </x:c>
      <x:c r="J44" s="74" t="str">
        <x:v>BLOCKED</x:v>
      </x:c>
      <x:c r="K44" s="74" t="str">
        <x:v>TODO-HUMAN-EVIDENCE</x:v>
      </x:c>
      <x:c r="L44" s="74" t="str">
        <x:v>TODO-HUMAN-EVIDENCE</x:v>
      </x:c>
    </x:row>
    <x:row r="45" ht="34" customHeight="1">
      <x:c r="A45" s="74" t="str">
        <x:f>'Master Checklist'!A45</x:f>
        <x:v>IA03-12</x:v>
      </x:c>
      <x:c r="B45" s="74" t="str">
        <x:f>'Master Checklist'!B45</x:f>
        <x:v>IA-03 Navigation</x:v>
      </x:c>
      <x:c r="C45" s="74" t="str">
        <x:f>'Master Checklist'!C45</x:f>
        <x:v>Pagination or infinite lists preserve filters and return the user to the previous item/scroll context.</x:v>
      </x:c>
      <x:c r="D45" s="74" t="str">
        <x:v>BLOCKED</x:v>
      </x:c>
      <x:c r="E45" s="74" t="str">
        <x:v>TODO-HUMAN-EVIDENCE</x:v>
      </x:c>
      <x:c r="F45" s="74" t="str">
        <x:v>TODO-HUMAN-EVIDENCE</x:v>
      </x:c>
      <x:c r="G45" s="74" t="str">
        <x:v>BLOCKED</x:v>
      </x:c>
      <x:c r="H45" s="74" t="str">
        <x:v>TODO-HUMAN-EVIDENCE</x:v>
      </x:c>
      <x:c r="I45" s="74" t="str">
        <x:v>TODO-HUMAN-EVIDENCE</x:v>
      </x:c>
      <x:c r="J45" s="74" t="str">
        <x:v>BLOCKED</x:v>
      </x:c>
      <x:c r="K45" s="74" t="str">
        <x:v>TODO-HUMAN-EVIDENCE</x:v>
      </x:c>
      <x:c r="L45" s="74" t="str">
        <x:v>TODO-HUMAN-EVIDENCE</x:v>
      </x:c>
    </x:row>
    <x:row r="46" ht="34" customHeight="1">
      <x:c r="A46" s="74" t="str">
        <x:f>'Master Checklist'!A46</x:f>
        <x:v>IA03-13</x:v>
      </x:c>
      <x:c r="B46" s="74" t="str">
        <x:f>'Master Checklist'!B46</x:f>
        <x:v>IA-03 Navigation</x:v>
      </x:c>
      <x:c r="C46" s="74" t="str">
        <x:f>'Master Checklist'!C46</x:f>
        <x:v>External links and downloads are identifiable and do not unexpectedly replace an in-progress task.</x:v>
      </x:c>
      <x:c r="D46" s="74" t="str">
        <x:v>BLOCKED</x:v>
      </x:c>
      <x:c r="E46" s="74" t="str">
        <x:v>TODO-HUMAN-EVIDENCE</x:v>
      </x:c>
      <x:c r="F46" s="74" t="str">
        <x:v>TODO-HUMAN-EVIDENCE</x:v>
      </x:c>
      <x:c r="G46" s="74" t="str">
        <x:v>BLOCKED</x:v>
      </x:c>
      <x:c r="H46" s="74" t="str">
        <x:v>TODO-HUMAN-EVIDENCE</x:v>
      </x:c>
      <x:c r="I46" s="74" t="str">
        <x:v>TODO-HUMAN-EVIDENCE</x:v>
      </x:c>
      <x:c r="J46" s="74" t="str">
        <x:v>BLOCKED</x:v>
      </x:c>
      <x:c r="K46" s="74" t="str">
        <x:v>TODO-HUMAN-EVIDENCE</x:v>
      </x:c>
      <x:c r="L46" s="74" t="str">
        <x:v>TODO-HUMAN-EVIDENCE</x:v>
      </x:c>
    </x:row>
    <x:row r="47" ht="34" customHeight="1">
      <x:c r="A47" s="74" t="str">
        <x:f>'Master Checklist'!A47</x:f>
        <x:v>IA03-14</x:v>
      </x:c>
      <x:c r="B47" s="74" t="str">
        <x:f>'Master Checklist'!B47</x:f>
        <x:v>IA-03 Navigation</x:v>
      </x:c>
      <x:c r="C47" s="74" t="str">
        <x:f>'Master Checklist'!C47</x:f>
        <x:v>Responsive navigation keeps all essential destinations and actions discoverable without accidental overlap or off-screen menus.</x:v>
      </x:c>
      <x:c r="D47" s="74" t="str">
        <x:v>BLOCKED</x:v>
      </x:c>
      <x:c r="E47" s="74" t="str">
        <x:v>TODO-HUMAN-EVIDENCE</x:v>
      </x:c>
      <x:c r="F47" s="74" t="str">
        <x:v>TODO-HUMAN-EVIDENCE</x:v>
      </x:c>
      <x:c r="G47" s="74" t="str">
        <x:v>BLOCKED</x:v>
      </x:c>
      <x:c r="H47" s="74" t="str">
        <x:v>TODO-HUMAN-EVIDENCE</x:v>
      </x:c>
      <x:c r="I47" s="74" t="str">
        <x:v>TODO-HUMAN-EVIDENCE</x:v>
      </x:c>
      <x:c r="J47" s="74" t="str">
        <x:v>BLOCKED</x:v>
      </x:c>
      <x:c r="K47" s="74" t="str">
        <x:v>TODO-HUMAN-EVIDENCE</x:v>
      </x:c>
      <x:c r="L47" s="74" t="str">
        <x:v>TODO-HUMAN-EVIDENCE</x:v>
      </x:c>
    </x:row>
    <x:row r="48" ht="34" customHeight="1">
      <x:c r="A48" s="74" t="str">
        <x:f>'Master Checklist'!A48</x:f>
        <x:v>IA04-01</x:v>
      </x:c>
      <x:c r="B48" s="74" t="str">
        <x:f>'Master Checklist'!B48</x:f>
        <x:v>IA-04 Feedback / State</x:v>
      </x:c>
      <x:c r="C48" s="74" t="str">
        <x:f>'Master Checklist'!C48</x:f>
        <x:v>Every user action receives timely, proportionate, and understandable feedback.</x:v>
      </x:c>
      <x:c r="D48" s="74" t="str">
        <x:v>BLOCKED</x:v>
      </x:c>
      <x:c r="E48" s="74" t="str">
        <x:v>TODO-HUMAN-EVIDENCE</x:v>
      </x:c>
      <x:c r="F48" s="74" t="str">
        <x:v>TODO-HUMAN-EVIDENCE</x:v>
      </x:c>
      <x:c r="G48" s="74" t="str">
        <x:v>BLOCKED</x:v>
      </x:c>
      <x:c r="H48" s="74" t="str">
        <x:v>TODO-HUMAN-EVIDENCE</x:v>
      </x:c>
      <x:c r="I48" s="74" t="str">
        <x:v>TODO-HUMAN-EVIDENCE</x:v>
      </x:c>
      <x:c r="J48" s="74" t="str">
        <x:v>BLOCKED</x:v>
      </x:c>
      <x:c r="K48" s="74" t="str">
        <x:v>TODO-HUMAN-EVIDENCE</x:v>
      </x:c>
      <x:c r="L48" s="74" t="str">
        <x:v>TODO-HUMAN-EVIDENCE</x:v>
      </x:c>
    </x:row>
    <x:row r="49" ht="34" customHeight="1">
      <x:c r="A49" s="74" t="str">
        <x:f>'Master Checklist'!A49</x:f>
        <x:v>IA04-02</x:v>
      </x:c>
      <x:c r="B49" s="74" t="str">
        <x:f>'Master Checklist'!B49</x:f>
        <x:v>IA-04 Feedback / State</x:v>
      </x:c>
      <x:c r="C49" s="74" t="str">
        <x:f>'Master Checklist'!C49</x:f>
        <x:v>Asynchronous operations show loading/progress and prevent conflicting actions while keeping the page responsive.</x:v>
      </x:c>
      <x:c r="D49" s="74" t="str">
        <x:v>BLOCKED</x:v>
      </x:c>
      <x:c r="E49" s="74" t="str">
        <x:v>TODO-HUMAN-EVIDENCE</x:v>
      </x:c>
      <x:c r="F49" s="74" t="str">
        <x:v>TODO-HUMAN-EVIDENCE</x:v>
      </x:c>
      <x:c r="G49" s="74" t="str">
        <x:v>BLOCKED</x:v>
      </x:c>
      <x:c r="H49" s="74" t="str">
        <x:v>TODO-HUMAN-EVIDENCE</x:v>
      </x:c>
      <x:c r="I49" s="74" t="str">
        <x:v>TODO-HUMAN-EVIDENCE</x:v>
      </x:c>
      <x:c r="J49" s="74" t="str">
        <x:v>BLOCKED</x:v>
      </x:c>
      <x:c r="K49" s="74" t="str">
        <x:v>TODO-HUMAN-EVIDENCE</x:v>
      </x:c>
      <x:c r="L49" s="74" t="str">
        <x:v>TODO-HUMAN-EVIDENCE</x:v>
      </x:c>
    </x:row>
    <x:row r="50" ht="34" customHeight="1">
      <x:c r="A50" s="74" t="str">
        <x:f>'Master Checklist'!A50</x:f>
        <x:v>IA04-03</x:v>
      </x:c>
      <x:c r="B50" s="74" t="str">
        <x:f>'Master Checklist'!B50</x:f>
        <x:v>IA-04 Feedback / State</x:v>
      </x:c>
      <x:c r="C50" s="74" t="str">
        <x:f>'Master Checklist'!C50</x:f>
        <x:v>Success feedback states what changed and what the user can do next.</x:v>
      </x:c>
      <x:c r="D50" s="74" t="str">
        <x:v>BLOCKED</x:v>
      </x:c>
      <x:c r="E50" s="74" t="str">
        <x:v>TODO-HUMAN-EVIDENCE</x:v>
      </x:c>
      <x:c r="F50" s="74" t="str">
        <x:v>TODO-HUMAN-EVIDENCE</x:v>
      </x:c>
      <x:c r="G50" s="74" t="str">
        <x:v>BLOCKED</x:v>
      </x:c>
      <x:c r="H50" s="74" t="str">
        <x:v>TODO-HUMAN-EVIDENCE</x:v>
      </x:c>
      <x:c r="I50" s="74" t="str">
        <x:v>TODO-HUMAN-EVIDENCE</x:v>
      </x:c>
      <x:c r="J50" s="74" t="str">
        <x:v>BLOCKED</x:v>
      </x:c>
      <x:c r="K50" s="74" t="str">
        <x:v>TODO-HUMAN-EVIDENCE</x:v>
      </x:c>
      <x:c r="L50" s="74" t="str">
        <x:v>TODO-HUMAN-EVIDENCE</x:v>
      </x:c>
    </x:row>
    <x:row r="51" ht="34" customHeight="1">
      <x:c r="A51" s="74" t="str">
        <x:f>'Master Checklist'!A51</x:f>
        <x:v>IA04-04</x:v>
      </x:c>
      <x:c r="B51" s="74" t="str">
        <x:f>'Master Checklist'!B51</x:f>
        <x:v>IA-04 Feedback / State</x:v>
      </x:c>
      <x:c r="C51" s="74" t="str">
        <x:f>'Master Checklist'!C51</x:f>
        <x:v>Failure feedback explains the problem, preserves useful state, and offers a concrete recovery or retry path.</x:v>
      </x:c>
      <x:c r="D51" s="74" t="str">
        <x:v>BLOCKED</x:v>
      </x:c>
      <x:c r="E51" s="74" t="str">
        <x:v>TODO-HUMAN-EVIDENCE</x:v>
      </x:c>
      <x:c r="F51" s="74" t="str">
        <x:v>TODO-HUMAN-EVIDENCE</x:v>
      </x:c>
      <x:c r="G51" s="74" t="str">
        <x:v>BLOCKED</x:v>
      </x:c>
      <x:c r="H51" s="74" t="str">
        <x:v>TODO-HUMAN-EVIDENCE</x:v>
      </x:c>
      <x:c r="I51" s="74" t="str">
        <x:v>TODO-HUMAN-EVIDENCE</x:v>
      </x:c>
      <x:c r="J51" s="74" t="str">
        <x:v>BLOCKED</x:v>
      </x:c>
      <x:c r="K51" s="74" t="str">
        <x:v>TODO-HUMAN-EVIDENCE</x:v>
      </x:c>
      <x:c r="L51" s="74" t="str">
        <x:v>TODO-HUMAN-EVIDENCE</x:v>
      </x:c>
    </x:row>
    <x:row r="52" ht="34" customHeight="1">
      <x:c r="A52" s="74" t="str">
        <x:f>'Master Checklist'!A52</x:f>
        <x:v>IA04-05</x:v>
      </x:c>
      <x:c r="B52" s="74" t="str">
        <x:f>'Master Checklist'!B52</x:f>
        <x:v>IA-04 Feedback / State</x:v>
      </x:c>
      <x:c r="C52" s="74" t="str">
        <x:f>'Master Checklist'!C52</x:f>
        <x:v>Toasts and alerts are readable long enough, dismissible when appropriate, do not cover key controls, and are announced to assistive technology.</x:v>
      </x:c>
      <x:c r="D52" s="74" t="str">
        <x:v>BLOCKED</x:v>
      </x:c>
      <x:c r="E52" s="74" t="str">
        <x:v>TODO-HUMAN-EVIDENCE</x:v>
      </x:c>
      <x:c r="F52" s="74" t="str">
        <x:v>TODO-HUMAN-EVIDENCE</x:v>
      </x:c>
      <x:c r="G52" s="74" t="str">
        <x:v>BLOCKED</x:v>
      </x:c>
      <x:c r="H52" s="74" t="str">
        <x:v>TODO-HUMAN-EVIDENCE</x:v>
      </x:c>
      <x:c r="I52" s="74" t="str">
        <x:v>TODO-HUMAN-EVIDENCE</x:v>
      </x:c>
      <x:c r="J52" s="74" t="str">
        <x:v>BLOCKED</x:v>
      </x:c>
      <x:c r="K52" s="74" t="str">
        <x:v>TODO-HUMAN-EVIDENCE</x:v>
      </x:c>
      <x:c r="L52" s="74" t="str">
        <x:v>TODO-HUMAN-EVIDENCE</x:v>
      </x:c>
    </x:row>
    <x:row r="53" ht="34" customHeight="1">
      <x:c r="A53" s="74" t="str">
        <x:f>'Master Checklist'!A53</x:f>
        <x:v>IA04-06</x:v>
      </x:c>
      <x:c r="B53" s="74" t="str">
        <x:f>'Master Checklist'!B53</x:f>
        <x:v>IA-04 Feedback / State</x:v>
      </x:c>
      <x:c r="C53" s="74" t="str">
        <x:f>'Master Checklist'!C53</x:f>
        <x:v>Status badges use consistent wording, color, iconography, and meaning across list, detail, notification, and report views.</x:v>
      </x:c>
      <x:c r="D53" s="74" t="str">
        <x:v>BLOCKED</x:v>
      </x:c>
      <x:c r="E53" s="74" t="str">
        <x:v>TODO-HUMAN-EVIDENCE</x:v>
      </x:c>
      <x:c r="F53" s="74" t="str">
        <x:v>TODO-HUMAN-EVIDENCE</x:v>
      </x:c>
      <x:c r="G53" s="74" t="str">
        <x:v>BLOCKED</x:v>
      </x:c>
      <x:c r="H53" s="74" t="str">
        <x:v>TODO-HUMAN-EVIDENCE</x:v>
      </x:c>
      <x:c r="I53" s="74" t="str">
        <x:v>TODO-HUMAN-EVIDENCE</x:v>
      </x:c>
      <x:c r="J53" s="74" t="str">
        <x:v>BLOCKED</x:v>
      </x:c>
      <x:c r="K53" s="74" t="str">
        <x:v>TODO-HUMAN-EVIDENCE</x:v>
      </x:c>
      <x:c r="L53" s="74" t="str">
        <x:v>TODO-HUMAN-EVIDENCE</x:v>
      </x:c>
    </x:row>
    <x:row r="54" ht="34" customHeight="1">
      <x:c r="A54" s="74" t="str">
        <x:f>'Master Checklist'!A54</x:f>
        <x:v>IA04-07</x:v>
      </x:c>
      <x:c r="B54" s="74" t="str">
        <x:f>'Master Checklist'!B54</x:f>
        <x:v>IA-04 Feedback / State</x:v>
      </x:c>
      <x:c r="C54" s="74" t="str">
        <x:f>'Master Checklist'!C54</x:f>
        <x:v>Confirmation dialogs identify the object, consequence, and action; the safe choice is clear and keyboard focus is appropriate.</x:v>
      </x:c>
      <x:c r="D54" s="74" t="str">
        <x:v>BLOCKED</x:v>
      </x:c>
      <x:c r="E54" s="74" t="str">
        <x:v>TODO-HUMAN-EVIDENCE</x:v>
      </x:c>
      <x:c r="F54" s="74" t="str">
        <x:v>TODO-HUMAN-EVIDENCE</x:v>
      </x:c>
      <x:c r="G54" s="74" t="str">
        <x:v>BLOCKED</x:v>
      </x:c>
      <x:c r="H54" s="74" t="str">
        <x:v>TODO-HUMAN-EVIDENCE</x:v>
      </x:c>
      <x:c r="I54" s="74" t="str">
        <x:v>TODO-HUMAN-EVIDENCE</x:v>
      </x:c>
      <x:c r="J54" s="74" t="str">
        <x:v>BLOCKED</x:v>
      </x:c>
      <x:c r="K54" s="74" t="str">
        <x:v>TODO-HUMAN-EVIDENCE</x:v>
      </x:c>
      <x:c r="L54" s="74" t="str">
        <x:v>TODO-HUMAN-EVIDENCE</x:v>
      </x:c>
    </x:row>
    <x:row r="55" ht="34" customHeight="1">
      <x:c r="A55" s="74" t="str">
        <x:f>'Master Checklist'!A55</x:f>
        <x:v>IA04-08</x:v>
      </x:c>
      <x:c r="B55" s="74" t="str">
        <x:f>'Master Checklist'!B55</x:f>
        <x:v>IA-04 Feedback / State</x:v>
      </x:c>
      <x:c r="C55" s="74" t="str">
        <x:f>'Master Checklist'!C55</x:f>
        <x:v>Users can cancel, undo, or reverse actions when reversal is technically reasonable.</x:v>
      </x:c>
      <x:c r="D55" s="74" t="str">
        <x:v>BLOCKED</x:v>
      </x:c>
      <x:c r="E55" s="74" t="str">
        <x:v>TODO-HUMAN-EVIDENCE</x:v>
      </x:c>
      <x:c r="F55" s="74" t="str">
        <x:v>TODO-HUMAN-EVIDENCE</x:v>
      </x:c>
      <x:c r="G55" s="74" t="str">
        <x:v>BLOCKED</x:v>
      </x:c>
      <x:c r="H55" s="74" t="str">
        <x:v>TODO-HUMAN-EVIDENCE</x:v>
      </x:c>
      <x:c r="I55" s="74" t="str">
        <x:v>TODO-HUMAN-EVIDENCE</x:v>
      </x:c>
      <x:c r="J55" s="74" t="str">
        <x:v>BLOCKED</x:v>
      </x:c>
      <x:c r="K55" s="74" t="str">
        <x:v>TODO-HUMAN-EVIDENCE</x:v>
      </x:c>
      <x:c r="L55" s="74" t="str">
        <x:v>TODO-HUMAN-EVIDENCE</x:v>
      </x:c>
    </x:row>
    <x:row r="56" ht="34" customHeight="1">
      <x:c r="A56" s="74" t="str">
        <x:f>'Master Checklist'!A56</x:f>
        <x:v>IA04-09</x:v>
      </x:c>
      <x:c r="B56" s="74" t="str">
        <x:f>'Master Checklist'!B56</x:f>
        <x:v>IA-04 Feedback / State</x:v>
      </x:c>
      <x:c r="C56" s="74" t="str">
        <x:f>'Master Checklist'!C56</x:f>
        <x:v>Progress indicators are accurate, labeled, and clearly distinguish determinate from indeterminate work.</x:v>
      </x:c>
      <x:c r="D56" s="74" t="str">
        <x:v>BLOCKED</x:v>
      </x:c>
      <x:c r="E56" s="74" t="str">
        <x:v>TODO-HUMAN-EVIDENCE</x:v>
      </x:c>
      <x:c r="F56" s="74" t="str">
        <x:v>TODO-HUMAN-EVIDENCE</x:v>
      </x:c>
      <x:c r="G56" s="74" t="str">
        <x:v>BLOCKED</x:v>
      </x:c>
      <x:c r="H56" s="74" t="str">
        <x:v>TODO-HUMAN-EVIDENCE</x:v>
      </x:c>
      <x:c r="I56" s="74" t="str">
        <x:v>TODO-HUMAN-EVIDENCE</x:v>
      </x:c>
      <x:c r="J56" s="74" t="str">
        <x:v>BLOCKED</x:v>
      </x:c>
      <x:c r="K56" s="74" t="str">
        <x:v>TODO-HUMAN-EVIDENCE</x:v>
      </x:c>
      <x:c r="L56" s="74" t="str">
        <x:v>TODO-HUMAN-EVIDENCE</x:v>
      </x:c>
    </x:row>
    <x:row r="57" ht="34" customHeight="1">
      <x:c r="A57" s="74" t="str">
        <x:f>'Master Checklist'!A57</x:f>
        <x:v>IA04-10</x:v>
      </x:c>
      <x:c r="B57" s="74" t="str">
        <x:f>'Master Checklist'!B57</x:f>
        <x:v>IA-04 Feedback / State</x:v>
      </x:c>
      <x:c r="C57" s="74" t="str">
        <x:f>'Master Checklist'!C57</x:f>
        <x:v>Real-time updates do not silently reorder content, overwrite edits, or remove the user's context; meaningful changes are announced.</x:v>
      </x:c>
      <x:c r="D57" s="74" t="str">
        <x:v>BLOCKED</x:v>
      </x:c>
      <x:c r="E57" s="74" t="str">
        <x:v>TODO-HUMAN-EVIDENCE</x:v>
      </x:c>
      <x:c r="F57" s="74" t="str">
        <x:v>TODO-HUMAN-EVIDENCE</x:v>
      </x:c>
      <x:c r="G57" s="74" t="str">
        <x:v>BLOCKED</x:v>
      </x:c>
      <x:c r="H57" s="74" t="str">
        <x:v>TODO-HUMAN-EVIDENCE</x:v>
      </x:c>
      <x:c r="I57" s="74" t="str">
        <x:v>TODO-HUMAN-EVIDENCE</x:v>
      </x:c>
      <x:c r="J57" s="74" t="str">
        <x:v>BLOCKED</x:v>
      </x:c>
      <x:c r="K57" s="74" t="str">
        <x:v>TODO-HUMAN-EVIDENCE</x:v>
      </x:c>
      <x:c r="L57" s="74" t="str">
        <x:v>TODO-HUMAN-EVIDENCE</x:v>
      </x:c>
    </x:row>
    <x:row r="58" ht="34" customHeight="1">
      <x:c r="A58" s="74" t="str">
        <x:f>'Master Checklist'!A58</x:f>
        <x:v>IA04-11</x:v>
      </x:c>
      <x:c r="B58" s="74" t="str">
        <x:f>'Master Checklist'!B58</x:f>
        <x:v>IA-04 Feedback / State</x:v>
      </x:c>
      <x:c r="C58" s="74" t="str">
        <x:f>'Master Checklist'!C58</x:f>
        <x:v>Empty and no-result states explain why no content is shown and offer the next useful action.</x:v>
      </x:c>
      <x:c r="D58" s="74" t="str">
        <x:v>BLOCKED</x:v>
      </x:c>
      <x:c r="E58" s="74" t="str">
        <x:v>TODO-HUMAN-EVIDENCE</x:v>
      </x:c>
      <x:c r="F58" s="74" t="str">
        <x:v>TODO-HUMAN-EVIDENCE</x:v>
      </x:c>
      <x:c r="G58" s="74" t="str">
        <x:v>BLOCKED</x:v>
      </x:c>
      <x:c r="H58" s="74" t="str">
        <x:v>TODO-HUMAN-EVIDENCE</x:v>
      </x:c>
      <x:c r="I58" s="74" t="str">
        <x:v>TODO-HUMAN-EVIDENCE</x:v>
      </x:c>
      <x:c r="J58" s="74" t="str">
        <x:v>BLOCKED</x:v>
      </x:c>
      <x:c r="K58" s="74" t="str">
        <x:v>TODO-HUMAN-EVIDENCE</x:v>
      </x:c>
      <x:c r="L58" s="74" t="str">
        <x:v>TODO-HUMAN-EVIDENCE</x:v>
      </x:c>
    </x:row>
    <x:row r="59" ht="34" customHeight="1">
      <x:c r="A59" s="74" t="str">
        <x:f>'Master Checklist'!A59</x:f>
        <x:v>IA04-12</x:v>
      </x:c>
      <x:c r="B59" s="74" t="str">
        <x:f>'Master Checklist'!B59</x:f>
        <x:v>IA-04 Feedback / State</x:v>
      </x:c>
      <x:c r="C59" s="74" t="str">
        <x:f>'Master Checklist'!C59</x:f>
        <x:v>Authentication, authorization, and session-expiry feedback clearly distinguish signed-out, forbidden, and server-failure states without exposing sensitive data.</x:v>
      </x:c>
      <x:c r="D59" s="74" t="str">
        <x:v>BLOCKED</x:v>
      </x:c>
      <x:c r="E59" s="74" t="str">
        <x:v>TODO-HUMAN-EVIDENCE</x:v>
      </x:c>
      <x:c r="F59" s="74" t="str">
        <x:v>TODO-HUMAN-EVIDENCE</x:v>
      </x:c>
      <x:c r="G59" s="74" t="str">
        <x:v>BLOCKED</x:v>
      </x:c>
      <x:c r="H59" s="74" t="str">
        <x:v>TODO-HUMAN-EVIDENCE</x:v>
      </x:c>
      <x:c r="I59" s="74" t="str">
        <x:v>TODO-HUMAN-EVIDENCE</x:v>
      </x:c>
      <x:c r="J59" s="74" t="str">
        <x:v>BLOCKED</x:v>
      </x:c>
      <x:c r="K59" s="74" t="str">
        <x:v>TODO-HUMAN-EVIDENCE</x:v>
      </x:c>
      <x:c r="L59" s="74" t="str">
        <x:v>TODO-HUMAN-EVIDENCE</x:v>
      </x:c>
    </x:row>
    <x:row r="60" ht="34" customHeight="1">
      <x:c r="A60" s="74" t="str">
        <x:f>'Master Checklist'!A60</x:f>
        <x:v>IA04-13</x:v>
      </x:c>
      <x:c r="B60" s="74" t="str">
        <x:f>'Master Checklist'!B60</x:f>
        <x:v>IA-04 Feedback / State</x:v>
      </x:c>
      <x:c r="C60" s="74" t="str">
        <x:f>'Master Checklist'!C60</x:f>
        <x:v>Disabled controls expose the unmet prerequisite or condition instead of appearing broken.</x:v>
      </x:c>
      <x:c r="D60" s="74" t="str">
        <x:v>BLOCKED</x:v>
      </x:c>
      <x:c r="E60" s="74" t="str">
        <x:v>TODO-HUMAN-EVIDENCE</x:v>
      </x:c>
      <x:c r="F60" s="74" t="str">
        <x:v>TODO-HUMAN-EVIDENCE</x:v>
      </x:c>
      <x:c r="G60" s="74" t="str">
        <x:v>BLOCKED</x:v>
      </x:c>
      <x:c r="H60" s="74" t="str">
        <x:v>TODO-HUMAN-EVIDENCE</x:v>
      </x:c>
      <x:c r="I60" s="74" t="str">
        <x:v>TODO-HUMAN-EVIDENCE</x:v>
      </x:c>
      <x:c r="J60" s="74" t="str">
        <x:v>BLOCKED</x:v>
      </x:c>
      <x:c r="K60" s="74" t="str">
        <x:v>TODO-HUMAN-EVIDENCE</x:v>
      </x:c>
      <x:c r="L60" s="74" t="str">
        <x:v>TODO-HUMAN-EVIDENCE</x:v>
      </x:c>
    </x:row>
    <x:row r="61" ht="34" customHeight="1">
      <x:c r="A61" s="74" t="str">
        <x:f>'Master Checklist'!A61</x:f>
        <x:v>IA04-14</x:v>
      </x:c>
      <x:c r="B61" s="74" t="str">
        <x:f>'Master Checklist'!B61</x:f>
        <x:v>IA-04 Feedback / State</x:v>
      </x:c>
      <x:c r="C61" s="74" t="str">
        <x:f>'Master Checklist'!C61</x:f>
        <x:v>Repeated clicks, refreshes, retries, or network reconnection do not create duplicate records or conflicting visible states.</x:v>
      </x:c>
      <x:c r="D61" s="74" t="str">
        <x:v>BLOCKED</x:v>
      </x:c>
      <x:c r="E61" s="74" t="str">
        <x:v>TODO-HUMAN-EVIDENCE</x:v>
      </x:c>
      <x:c r="F61" s="74" t="str">
        <x:v>TODO-HUMAN-EVIDENCE</x:v>
      </x:c>
      <x:c r="G61" s="74" t="str">
        <x:v>BLOCKED</x:v>
      </x:c>
      <x:c r="H61" s="74" t="str">
        <x:v>TODO-HUMAN-EVIDENCE</x:v>
      </x:c>
      <x:c r="I61" s="74" t="str">
        <x:v>TODO-HUMAN-EVIDENCE</x:v>
      </x:c>
      <x:c r="J61" s="74" t="str">
        <x:v>BLOCKED</x:v>
      </x:c>
      <x:c r="K61" s="74" t="str">
        <x:v>TODO-HUMAN-EVIDENCE</x:v>
      </x:c>
      <x:c r="L61" s="74" t="str">
        <x:v>TODO-HUMAN-EVIDENCE</x:v>
      </x:c>
    </x:row>
    <x:row r="62" ht="15.75" customHeight="1">
      <x:c r="A62" s="3">
        <x:f t="shared" ref="A62:C62" si="0">IF(#REF!="","",#REF!)</x:f>
      </x:c>
      <x:c r="B62" s="3">
        <x:f t="shared" si="0"/>
      </x:c>
      <x:c r="C62" s="3">
        <x:f t="shared" si="0"/>
      </x:c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15.75" customHeight="1">
      <x:c r="A63" s="3">
        <x:f t="shared" ref="A63:C63" si="1">IF(#REF!="","",#REF!)</x:f>
      </x:c>
      <x:c r="B63" s="3">
        <x:f t="shared" si="1"/>
      </x:c>
      <x:c r="C63" s="3">
        <x:f t="shared" si="1"/>
      </x:c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15.75" customHeight="1">
      <x:c r="A64" s="3">
        <x:f t="shared" ref="A64:C64" si="2">IF(#REF!="","",#REF!)</x:f>
      </x:c>
      <x:c r="B64" s="3">
        <x:f t="shared" si="2"/>
      </x:c>
      <x:c r="C64" s="3">
        <x:f t="shared" si="2"/>
      </x:c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15.75" customHeight="1">
      <x:c r="A65" s="6">
        <x:f t="shared" ref="A65:C65" si="3">IF(#REF!="","",#REF!)</x:f>
      </x:c>
      <x:c r="B65" s="6">
        <x:f t="shared" si="3"/>
      </x:c>
      <x:c r="C65" s="6">
        <x:f t="shared" si="3"/>
      </x:c>
      <x:c r="D65" s="6"/>
      <x:c r="E65" s="6"/>
      <x:c r="F65" s="6"/>
      <x:c r="G65" s="6"/>
      <x:c r="H65" s="6"/>
      <x:c r="I65" s="6"/>
      <x:c r="J65" s="6"/>
      <x:c r="K65" s="6"/>
      <x:c r="L65" s="6"/>
    </x:row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2:L2"/>
  </x:mergeCells>
  <x:conditionalFormatting sqref="D6:D65">
    <x:cfRule type="containsText" dxfId="23" priority="1" operator="containsText" text="Passed">
      <x:formula>NOT(ISERROR(SEARCH(("Passed"),(D6))))</x:formula>
    </x:cfRule>
    <x:cfRule type="containsText" dxfId="22" priority="2" operator="containsText" text="Failed">
      <x:formula>NOT(ISERROR(SEARCH(("Failed"),(D6))))</x:formula>
    </x:cfRule>
    <x:cfRule type="containsText" dxfId="21" priority="3" operator="containsText" text="Not Run">
      <x:formula>NOT(ISERROR(SEARCH(("Not Run"),(D6))))</x:formula>
    </x:cfRule>
  </x:conditionalFormatting>
  <x:conditionalFormatting sqref="G6:G65">
    <x:cfRule type="containsText" dxfId="20" priority="4" operator="containsText" text="Passed">
      <x:formula>NOT(ISERROR(SEARCH(("Passed"),(G6))))</x:formula>
    </x:cfRule>
    <x:cfRule type="containsText" dxfId="19" priority="5" operator="containsText" text="Failed">
      <x:formula>NOT(ISERROR(SEARCH(("Failed"),(G6))))</x:formula>
    </x:cfRule>
    <x:cfRule type="containsText" dxfId="18" priority="6" operator="containsText" text="Not Run">
      <x:formula>NOT(ISERROR(SEARCH(("Not Run"),(G6))))</x:formula>
    </x:cfRule>
  </x:conditionalFormatting>
  <x:conditionalFormatting sqref="J6:J65">
    <x:cfRule type="containsText" dxfId="17" priority="7" operator="containsText" text="Passed">
      <x:formula>NOT(ISERROR(SEARCH(("Passed"),(J6))))</x:formula>
    </x:cfRule>
    <x:cfRule type="containsText" dxfId="16" priority="8" operator="containsText" text="Failed">
      <x:formula>NOT(ISERROR(SEARCH(("Failed"),(J6))))</x:formula>
    </x:cfRule>
    <x:cfRule type="containsText" dxfId="15" priority="9" operator="containsText" text="Not Run">
      <x:formula>NOT(ISERROR(SEARCH(("Not Run"),(J6))))</x:formula>
    </x:cfRule>
  </x:conditionalFormatting>
  <x:dataValidations count="4">
    <x:dataValidation type="list" allowBlank="1" sqref="D6:D65 G6:G65 J6:J65">
      <x:formula1>"Not Run,Passed,Failed"</x:formula1>
    </x:dataValidation>
    <x:dataValidation type="list" sqref="D6:D61">
      <x:formula1>"BLOCKED,Passed,Failed"</x:formula1>
    </x:dataValidation>
    <x:dataValidation type="list" sqref="G6:G61">
      <x:formula1>"BLOCKED,Passed,Failed"</x:formula1>
    </x:dataValidation>
    <x:dataValidation type="list" sqref="J6:J61">
      <x:formula1>"BLOCKED,Passed,Failed"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03c3b6d8c742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2" customWidth="1"/>
    <x:col min="2" max="2" width="18" customWidth="1"/>
    <x:col min="3" max="3" width="22" customWidth="1"/>
    <x:col min="4" max="4" width="24" customWidth="1"/>
    <x:col min="5" max="5" width="14" customWidth="1"/>
    <x:col min="6" max="6" width="18" customWidth="1"/>
    <x:col min="7" max="7" width="16" customWidth="1"/>
    <x:col min="8" max="8" width="14" customWidth="1"/>
    <x:col min="9" max="9" width="12" customWidth="1"/>
    <x:col min="10" max="10" width="14" customWidth="1"/>
    <x:col min="11" max="11" width="16" customWidth="1"/>
    <x:col min="12" max="12" width="40" customWidth="1"/>
    <x:col min="13" max="26" width="8.625" customWidth="1"/>
  </x:cols>
  <x:sheetData>
    <x:row r="1" ht="33.75" customHeight="1">
      <x:c r="A1" s="28" t="s">
        <x:v>181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1.5" customHeight="1">
      <x:c r="A2" s="29" t="s">
        <x:v>182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>
      <x:c r="A4" s="37" t="str">
        <x:v>Goal-based scenario: Starting at Admin → Users List, find the specified user, assign Event Organizer, block and unblock the account, then attempt Reset Password and report when each state is saved.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30" customHeight="1">
      <x:c r="A5" s="1" t="s">
        <x:v>183</x:v>
      </x:c>
      <x:c r="B5" s="1" t="s">
        <x:v>184</x:v>
      </x:c>
      <x:c r="C5" s="1" t="s">
        <x:v>185</x:v>
      </x:c>
      <x:c r="D5" s="1" t="s">
        <x:v>186</x:v>
      </x:c>
      <x:c r="E5" s="1" t="s">
        <x:v>187</x:v>
      </x:c>
      <x:c r="F5" s="1" t="s">
        <x:v>188</x:v>
      </x:c>
      <x:c r="G5" s="1" t="s">
        <x:v>189</x:v>
      </x:c>
      <x:c r="H5" s="1" t="s">
        <x:v>190</x:v>
      </x:c>
      <x:c r="I5" s="1" t="s">
        <x:v>191</x:v>
      </x:c>
      <x:c r="J5" s="1" t="s">
        <x:v>192</x:v>
      </x:c>
      <x:c r="K5" s="1" t="s">
        <x:v>193</x:v>
      </x:c>
      <x:c r="L5" s="1" t="s">
        <x:v>194</x:v>
      </x:c>
    </x:row>
    <x:row r="6" ht="36" customHeight="1">
      <x:c r="A6" s="73" t="str">
        <x:v>Pilot</x:v>
      </x:c>
      <x:c r="B6" s="73" t="str">
        <x:v>TODO-HUMAN-EVIDENCE</x:v>
      </x:c>
      <x:c r="C6" s="73" t="str">
        <x:v>TODO-HUMAN-EVIDENCE</x:v>
      </x:c>
      <x:c r="D6" s="73" t="str">
        <x:v>TODO-HUMAN-EVIDENCE</x:v>
      </x:c>
      <x:c r="E6" s="73" t="str">
        <x:v>TODO-HUMAN-EVIDENCE</x:v>
      </x:c>
      <x:c r="F6" s="73" t="str">
        <x:v>TODO-HUMAN-EVIDENCE</x:v>
      </x:c>
      <x:c r="G6" s="73" t="str">
        <x:v>BLOCKED</x:v>
      </x:c>
      <x:c r="H6" s="73" t="str">
        <x:v>TODO-HUMAN-EVIDENCE</x:v>
      </x:c>
      <x:c r="I6" s="73" t="str">
        <x:v>TODO-HUMAN-EVIDENCE</x:v>
      </x:c>
      <x:c r="J6" s="73" t="str">
        <x:v>TODO-HUMAN-EVIDENCE</x:v>
      </x:c>
      <x:c r="K6" s="73" t="str">
        <x:v>TODO-HUMAN-EVIDENCE</x:v>
      </x:c>
      <x:c r="L6" s="73" t="str">
        <x:v>TODO-HUMAN-EVIDENCE</x:v>
      </x:c>
    </x:row>
    <x:row r="7" ht="36" customHeight="1">
      <x:c r="A7" s="74" t="str">
        <x:v>P01</x:v>
      </x:c>
      <x:c r="B7" s="74" t="str">
        <x:v>TODO-HUMAN-EVIDENCE</x:v>
      </x:c>
      <x:c r="C7" s="74" t="str">
        <x:v>TODO-HUMAN-EVIDENCE</x:v>
      </x:c>
      <x:c r="D7" s="74" t="str">
        <x:v>TODO-HUMAN-EVIDENCE</x:v>
      </x:c>
      <x:c r="E7" s="74" t="str">
        <x:v>TODO-HUMAN-EVIDENCE</x:v>
      </x:c>
      <x:c r="F7" s="74" t="str">
        <x:v>TODO-HUMAN-EVIDENCE</x:v>
      </x:c>
      <x:c r="G7" s="74" t="str">
        <x:v>BLOCKED</x:v>
      </x:c>
      <x:c r="H7" s="74" t="str">
        <x:v>TODO-HUMAN-EVIDENCE</x:v>
      </x:c>
      <x:c r="I7" s="74" t="str">
        <x:v>TODO-HUMAN-EVIDENCE</x:v>
      </x:c>
      <x:c r="J7" s="74" t="str">
        <x:v>TODO-HUMAN-EVIDENCE</x:v>
      </x:c>
      <x:c r="K7" s="74" t="str">
        <x:v>TODO-HUMAN-EVIDENCE</x:v>
      </x:c>
      <x:c r="L7" s="74" t="str">
        <x:v>TODO-HUMAN-EVIDENCE</x:v>
      </x:c>
    </x:row>
    <x:row r="8" ht="36" customHeight="1">
      <x:c r="A8" s="74" t="str">
        <x:v>P02</x:v>
      </x:c>
      <x:c r="B8" s="74" t="str">
        <x:v>TODO-HUMAN-EVIDENCE</x:v>
      </x:c>
      <x:c r="C8" s="74" t="str">
        <x:v>TODO-HUMAN-EVIDENCE</x:v>
      </x:c>
      <x:c r="D8" s="74" t="str">
        <x:v>TODO-HUMAN-EVIDENCE</x:v>
      </x:c>
      <x:c r="E8" s="74" t="str">
        <x:v>TODO-HUMAN-EVIDENCE</x:v>
      </x:c>
      <x:c r="F8" s="74" t="str">
        <x:v>TODO-HUMAN-EVIDENCE</x:v>
      </x:c>
      <x:c r="G8" s="74" t="str">
        <x:v>BLOCKED</x:v>
      </x:c>
      <x:c r="H8" s="74" t="str">
        <x:v>TODO-HUMAN-EVIDENCE</x:v>
      </x:c>
      <x:c r="I8" s="74" t="str">
        <x:v>TODO-HUMAN-EVIDENCE</x:v>
      </x:c>
      <x:c r="J8" s="74" t="str">
        <x:v>TODO-HUMAN-EVIDENCE</x:v>
      </x:c>
      <x:c r="K8" s="74" t="str">
        <x:v>TODO-HUMAN-EVIDENCE</x:v>
      </x:c>
      <x:c r="L8" s="74" t="str">
        <x:v>TODO-HUMAN-EVIDENCE</x:v>
      </x:c>
    </x:row>
    <x:row r="9" ht="36" customHeight="1">
      <x:c r="A9" s="74" t="str">
        <x:v>P03</x:v>
      </x:c>
      <x:c r="B9" s="74" t="str">
        <x:v>TODO-HUMAN-EVIDENCE</x:v>
      </x:c>
      <x:c r="C9" s="74" t="str">
        <x:v>TODO-HUMAN-EVIDENCE</x:v>
      </x:c>
      <x:c r="D9" s="74" t="str">
        <x:v>TODO-HUMAN-EVIDENCE</x:v>
      </x:c>
      <x:c r="E9" s="74" t="str">
        <x:v>TODO-HUMAN-EVIDENCE</x:v>
      </x:c>
      <x:c r="F9" s="74" t="str">
        <x:v>TODO-HUMAN-EVIDENCE</x:v>
      </x:c>
      <x:c r="G9" s="74" t="str">
        <x:v>BLOCKED</x:v>
      </x:c>
      <x:c r="H9" s="74" t="str">
        <x:v>TODO-HUMAN-EVIDENCE</x:v>
      </x:c>
      <x:c r="I9" s="74" t="str">
        <x:v>TODO-HUMAN-EVIDENCE</x:v>
      </x:c>
      <x:c r="J9" s="74" t="str">
        <x:v>TODO-HUMAN-EVIDENCE</x:v>
      </x:c>
      <x:c r="K9" s="74" t="str">
        <x:v>TODO-HUMAN-EVIDENCE</x:v>
      </x:c>
      <x:c r="L9" s="74" t="str">
        <x:v>TODO-HUMAN-EVIDENCE</x:v>
      </x:c>
    </x:row>
    <x:row r="10" ht="36" customHeight="1">
      <x:c r="A10" s="74" t="str">
        <x:v>P04</x:v>
      </x:c>
      <x:c r="B10" s="74" t="str">
        <x:v>TODO-HUMAN-EVIDENCE</x:v>
      </x:c>
      <x:c r="C10" s="74" t="str">
        <x:v>TODO-HUMAN-EVIDENCE</x:v>
      </x:c>
      <x:c r="D10" s="74" t="str">
        <x:v>TODO-HUMAN-EVIDENCE</x:v>
      </x:c>
      <x:c r="E10" s="74" t="str">
        <x:v>TODO-HUMAN-EVIDENCE</x:v>
      </x:c>
      <x:c r="F10" s="74" t="str">
        <x:v>TODO-HUMAN-EVIDENCE</x:v>
      </x:c>
      <x:c r="G10" s="74" t="str">
        <x:v>BLOCKED</x:v>
      </x:c>
      <x:c r="H10" s="74" t="str">
        <x:v>TODO-HUMAN-EVIDENCE</x:v>
      </x:c>
      <x:c r="I10" s="74" t="str">
        <x:v>TODO-HUMAN-EVIDENCE</x:v>
      </x:c>
      <x:c r="J10" s="74" t="str">
        <x:v>TODO-HUMAN-EVIDENCE</x:v>
      </x:c>
      <x:c r="K10" s="74" t="str">
        <x:v>TODO-HUMAN-EVIDENCE</x:v>
      </x:c>
      <x:c r="L10" s="74" t="str">
        <x:v>TODO-HUMAN-EVIDENCE</x:v>
      </x:c>
    </x:row>
    <x:row r="11" ht="36" customHeight="1">
      <x:c r="A11" s="76" t="str">
        <x:v>P05</x:v>
      </x:c>
      <x:c r="B11" s="76" t="str">
        <x:v>TODO-HUMAN-EVIDENCE</x:v>
      </x:c>
      <x:c r="C11" s="76" t="str">
        <x:v>TODO-HUMAN-EVIDENCE</x:v>
      </x:c>
      <x:c r="D11" s="76" t="str">
        <x:v>TODO-HUMAN-EVIDENCE</x:v>
      </x:c>
      <x:c r="E11" s="76" t="str">
        <x:v>TODO-HUMAN-EVIDENCE</x:v>
      </x:c>
      <x:c r="F11" s="76" t="str">
        <x:v>TODO-HUMAN-EVIDENCE</x:v>
      </x:c>
      <x:c r="G11" s="76" t="str">
        <x:v>BLOCKED</x:v>
      </x:c>
      <x:c r="H11" s="76" t="str">
        <x:v>TODO-HUMAN-EVIDENCE</x:v>
      </x:c>
      <x:c r="I11" s="76" t="str">
        <x:v>TODO-HUMAN-EVIDENCE</x:v>
      </x:c>
      <x:c r="J11" s="76" t="str">
        <x:v>TODO-HUMAN-EVIDENCE</x:v>
      </x:c>
      <x:c r="K11" s="76" t="str">
        <x:v>TODO-HUMAN-EVIDENCE</x:v>
      </x:c>
      <x:c r="L11" s="76" t="str">
        <x:v>TODO-HUMAN-EVIDENCE</x:v>
      </x:c>
    </x:row>
    <x:row r="13">
      <x:c r="A13" s="26" t="s">
        <x:v>195</x:v>
      </x:c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</x:row>
    <x:row r="14">
      <x:c r="A14" s="13" t="s">
        <x:v>196</x:v>
      </x:c>
      <x:c r="B14" s="13"/>
      <x:c r="C14" s="13" t="s">
        <x:v>197</x:v>
      </x:c>
      <x:c r="D14" s="13"/>
      <x:c r="E14" s="13" t="s">
        <x:v>198</x:v>
      </x:c>
      <x:c r="F14" s="13"/>
      <x:c r="G14" s="13" t="s">
        <x:v>199</x:v>
      </x:c>
      <x:c r="H14" s="13"/>
    </x:row>
    <x:row r="15" ht="15.75">
      <x:c r="A15" s="14" t="str">
        <x:f>IF(COUNTIF(G7:G11,"Completed")+COUNTIF(G7:G11,"Partial")+COUNTIF(G7:G11,"Failed")=0,"",COUNTIF(G7:G11,"Completed")/5)</x:f>
      </x:c>
      <x:c r="B15" s="15"/>
      <x:c r="C15" s="15" t="str">
        <x:f>IF(COUNT(H7:H11)=0,"",AVERAGE(H7:H11))</x:f>
      </x:c>
      <x:c r="D15" s="15"/>
      <x:c r="E15" s="15" t="str">
        <x:f>IF(COUNT(I7:I11)=0,"",AVERAGE(I7:I11))</x:f>
      </x:c>
      <x:c r="F15" s="15"/>
      <x:c r="G15" s="15" t="str">
        <x:f>IF(COUNT(J7:J11)=0,"",AVERAGE(J7:J11))</x:f>
      </x:c>
      <x:c r="H15" s="15"/>
    </x:row>
    <x:row r="18" ht="30" customHeight="1">
      <x:c r="A18" s="1" t="s">
        <x:v>200</x:v>
      </x:c>
      <x:c r="B18" s="1" t="s">
        <x:v>201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36">
      <x:c r="A19" s="2" t="s">
        <x:v>202</x:v>
      </x:c>
      <x:c r="B19" s="2" t="s">
        <x:v>203</x:v>
      </x:c>
    </x:row>
    <x:row r="20" ht="36">
      <x:c r="A20" s="3" t="s">
        <x:v>204</x:v>
      </x:c>
      <x:c r="B20" s="3" t="s">
        <x:v>205</x:v>
      </x:c>
    </x:row>
    <x:row r="21" ht="15.75" customHeight="1">
      <x:c r="A21" s="3" t="s">
        <x:v>206</x:v>
      </x:c>
      <x:c r="B21" s="3" t="s">
        <x:v>207</x:v>
      </x:c>
    </x:row>
    <x:row r="22" ht="15.75" customHeight="1">
      <x:c r="A22" s="3" t="s">
        <x:v>208</x:v>
      </x:c>
      <x:c r="B22" s="3" t="s">
        <x:v>209</x:v>
      </x:c>
    </x:row>
    <x:row r="23" ht="15.75" customHeight="1">
      <x:c r="A23" s="6" t="s">
        <x:v>210</x:v>
      </x:c>
      <x:c r="B23" s="6" t="s">
        <x:v>211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2:L2"/>
    <x:mergeCell ref="A4:L4"/>
    <x:mergeCell ref="A13:L13"/>
  </x:mergeCells>
  <x:dataValidations count="4">
    <x:dataValidation type="list" allowBlank="1" sqref="G6:G11">
      <x:formula1>"BLOCKED,Completed,Partial,Failed"</x:formula1>
    </x:dataValidation>
    <x:dataValidation type="list" allowBlank="1" sqref="C6:C11">
      <x:formula1>"Student,Lecturer,Guest/Event-goer,Other target user"</x:formula1>
    </x:dataValidation>
    <x:dataValidation type="list" allowBlank="1" sqref="E6:F11">
      <x:formula1>"Yes,No"</x:formula1>
    </x:dataValidation>
    <x:dataValidation type="decimal" operator="greaterThanOrEqual" allowBlank="1" sqref="H6:K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df6d81e70c42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6" customWidth="1"/>
    <x:col min="2" max="11" width="12" customWidth="1"/>
    <x:col min="12" max="12" width="20" customWidth="1"/>
    <x:col min="13" max="13" width="16" customWidth="1"/>
    <x:col min="14" max="26" width="8.625" customWidth="1"/>
  </x:cols>
  <x:sheetData>
    <x:row r="1" ht="33.75" customHeight="1">
      <x:c r="A1" s="28" t="s">
        <x:v>212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1.5" customHeight="1">
      <x:c r="A2" s="29" t="s">
        <x:v>213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5" ht="30" customHeight="1">
      <x:c r="A5" s="1" t="s">
        <x:v>214</x:v>
      </x:c>
      <x:c r="B5" s="1" t="s">
        <x:v>215</x:v>
      </x:c>
      <x:c r="C5" s="1" t="s">
        <x:v>216</x:v>
      </x:c>
      <x:c r="D5" s="1" t="s">
        <x:v>217</x:v>
      </x:c>
      <x:c r="E5" s="1" t="s">
        <x:v>218</x:v>
      </x:c>
      <x:c r="F5" s="1" t="s">
        <x:v>219</x:v>
      </x:c>
      <x:c r="G5" s="1" t="s">
        <x:v>220</x:v>
      </x:c>
      <x:c r="H5" s="1" t="s">
        <x:v>221</x:v>
      </x:c>
      <x:c r="I5" s="1" t="s">
        <x:v>222</x:v>
      </x:c>
      <x:c r="J5" s="1" t="s">
        <x:v>223</x:v>
      </x:c>
      <x:c r="K5" s="1" t="s">
        <x:v>224</x:v>
      </x:c>
      <x:c r="L5" s="1" t="s">
        <x:v>225</x:v>
      </x:c>
      <x:c r="M5" s="1" t="s">
        <x:v>226</x:v>
      </x:c>
    </x:row>
    <x:row r="7" ht="14.25">
      <x:c r="A7" s="2" t="str">
        <x:v>P01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11" t="str">
        <x:f t="shared" ref="L7:L11" si="0">IF(COUNT(B7:K7)&lt;10,"",(B7-1)+(5-C7)+(D7-1)+(5-E7)+(F7-1)+(5-G7)+(H7-1)+(5-I7)+(J7-1)+(5-K7))</x:f>
      </x:c>
      <x:c r="M7" s="11" t="str">
        <x:f t="shared" ref="M7:M11" si="1">IF(L7="","",L7*2.5)</x:f>
      </x:c>
    </x:row>
    <x:row r="8" ht="14.25">
      <x:c r="A8" s="3" t="str">
        <x:v>P02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12" t="str">
        <x:f t="shared" si="0">IF(COUNT(B8:K8)&lt;10,"",(B8-1)+(5-C8)+(D8-1)+(5-E8)+(F8-1)+(5-G8)+(H8-1)+(5-I8)+(J8-1)+(5-K8))</x:f>
      </x:c>
      <x:c r="M8" s="12" t="str">
        <x:f t="shared" si="1">IF(L8="","",L8*2.5)</x:f>
      </x:c>
    </x:row>
    <x:row r="9" ht="14.25">
      <x:c r="A9" s="3" t="str">
        <x:v>P03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12" t="str">
        <x:f t="shared" si="0">IF(COUNT(B9:K9)&lt;10,"",(B9-1)+(5-C9)+(D9-1)+(5-E9)+(F9-1)+(5-G9)+(H9-1)+(5-I9)+(J9-1)+(5-K9))</x:f>
      </x:c>
      <x:c r="M9" s="12" t="str">
        <x:f t="shared" si="1">IF(L9="","",L9*2.5)</x:f>
      </x:c>
    </x:row>
    <x:row r="10" ht="14.25">
      <x:c r="A10" s="3" t="str">
        <x:v>P04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12" t="str">
        <x:f t="shared" si="0">IF(COUNT(B10:K10)&lt;10,"",(B10-1)+(5-C10)+(D10-1)+(5-E10)+(F10-1)+(5-G10)+(H10-1)+(5-I10)+(J10-1)+(5-K10))</x:f>
      </x:c>
      <x:c r="M10" s="12" t="str">
        <x:f t="shared" si="1">IF(L10="","",L10*2.5)</x:f>
      </x:c>
    </x:row>
    <x:row r="11" ht="14.25">
      <x:c r="A11" s="6" t="str">
        <x:v>P05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16" t="str">
        <x:f t="shared" si="0">IF(COUNT(B11:K11)&lt;10,"",(B11-1)+(5-C11)+(D11-1)+(5-E11)+(F11-1)+(5-G11)+(H11-1)+(5-I11)+(J11-1)+(5-K11))</x:f>
      </x:c>
      <x:c r="M11" s="16" t="str">
        <x:f t="shared" si="1">IF(L11="","",L11*2.5)</x:f>
      </x:c>
    </x:row>
    <x:row r="13" ht="16.5">
      <x:c r="A13" s="26" t="s">
        <x:v>11</x:v>
      </x:c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17" t="str">
        <x:f>IF(COUNT(M7:M11)=0,"",AVERAGE(M7:M11))</x:f>
      </x:c>
    </x:row>
    <x:row r="16" ht="30" customHeight="1">
      <x:c r="A16" s="1" t="s">
        <x:v>227</x:v>
      </x:c>
      <x:c r="B16" s="43" t="s">
        <x:v>228</x:v>
      </x:c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</x:row>
    <x:row r="17" ht="27" customHeight="1">
      <x:c r="A17" s="2" t="s">
        <x:v>215</x:v>
      </x:c>
      <x:c r="B17" s="45" t="s">
        <x:v>229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</x:row>
    <x:row r="18" ht="27" customHeight="1">
      <x:c r="A18" s="3" t="s">
        <x:v>216</x:v>
      </x:c>
      <x:c r="B18" s="39" t="s">
        <x:v>230</x:v>
      </x:c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</x:row>
    <x:row r="19" ht="27" customHeight="1">
      <x:c r="A19" s="3" t="s">
        <x:v>217</x:v>
      </x:c>
      <x:c r="B19" s="39" t="s">
        <x:v>231</x:v>
      </x:c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</x:row>
    <x:row r="20" ht="27" customHeight="1">
      <x:c r="A20" s="3" t="s">
        <x:v>218</x:v>
      </x:c>
      <x:c r="B20" s="39" t="s">
        <x:v>232</x:v>
      </x:c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</x:row>
    <x:row r="21" ht="27" customHeight="1">
      <x:c r="A21" s="3" t="s">
        <x:v>219</x:v>
      </x:c>
      <x:c r="B21" s="39" t="s">
        <x:v>233</x:v>
      </x:c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</x:row>
    <x:row r="22" ht="27" customHeight="1">
      <x:c r="A22" s="3" t="s">
        <x:v>220</x:v>
      </x:c>
      <x:c r="B22" s="39" t="s">
        <x:v>234</x:v>
      </x:c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</x:row>
    <x:row r="23" ht="27" customHeight="1">
      <x:c r="A23" s="3" t="s">
        <x:v>221</x:v>
      </x:c>
      <x:c r="B23" s="39" t="s">
        <x:v>235</x:v>
      </x:c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</x:row>
    <x:row r="24" ht="27" customHeight="1">
      <x:c r="A24" s="3" t="s">
        <x:v>222</x:v>
      </x:c>
      <x:c r="B24" s="39" t="s">
        <x:v>236</x:v>
      </x:c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</x:row>
    <x:row r="25" ht="27" customHeight="1">
      <x:c r="A25" s="3" t="s">
        <x:v>223</x:v>
      </x:c>
      <x:c r="B25" s="39" t="s">
        <x:v>237</x:v>
      </x:c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</x:row>
    <x:row r="26" ht="27" customHeight="1">
      <x:c r="A26" s="6" t="s">
        <x:v>224</x:v>
      </x:c>
      <x:c r="B26" s="41" t="s">
        <x:v>238</x:v>
      </x:c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5:M25"/>
    <x:mergeCell ref="B26:M26"/>
    <x:mergeCell ref="A1:M1"/>
    <x:mergeCell ref="A2:M2"/>
    <x:mergeCell ref="A13:L13"/>
    <x:mergeCell ref="B16:M16"/>
    <x:mergeCell ref="B17:M17"/>
    <x:mergeCell ref="B18:M18"/>
    <x:mergeCell ref="B19:M19"/>
    <x:mergeCell ref="B20:M20"/>
    <x:mergeCell ref="B21:M21"/>
    <x:mergeCell ref="B22:M22"/>
    <x:mergeCell ref="B23:M23"/>
    <x:mergeCell ref="B24:M24"/>
  </x:mergeCells>
  <x:dataValidations count="1">
    <x:dataValidation type="whole" operator="between" allowBlank="1" sqref="B7:K11">
      <x:formula1>1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2" customWidth="1"/>
    <x:col min="2" max="2" width="38" hidden="0" customWidth="1"/>
    <x:col min="3" max="3" width="20" customWidth="1"/>
    <x:col min="4" max="4" width="24" customWidth="1"/>
    <x:col min="5" max="5" width="16" customWidth="1"/>
    <x:col min="6" max="6" width="36" customWidth="1"/>
    <x:col min="7" max="7" width="20" customWidth="1"/>
    <x:col min="8" max="8" width="14" customWidth="1"/>
    <x:col min="9" max="9" width="34" customWidth="1"/>
    <x:col min="10" max="10" width="52" hidden="0" customWidth="1"/>
    <x:col min="11" max="11" width="14" customWidth="1"/>
    <x:col min="12" max="12" width="28" customWidth="1"/>
    <x:col min="13" max="13" width="24" customWidth="1"/>
    <x:col min="14" max="26" width="8.625" customWidth="1"/>
  </x:cols>
  <x:sheetData>
    <x:row r="1" ht="33.75" customHeight="1">
      <x:c r="A1" s="28" t="s">
        <x:v>239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1.5" customHeight="1">
      <x:c r="A2" s="29" t="s">
        <x:v>240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4">
      <x:c r="A4" s="37" t="str">
        <x:v>Exactly 15 planned cells for C1–C3. Use Windows, iPadOS, and Android only. Every executed cell requires a real evidence screenshot.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30" customHeight="1">
      <x:c r="A5" s="1" t="s">
        <x:v>241</x:v>
      </x:c>
      <x:c r="B5" s="1" t="s">
        <x:v>242</x:v>
      </x:c>
      <x:c r="C5" s="1" t="s">
        <x:v>243</x:v>
      </x:c>
      <x:c r="D5" s="1" t="s">
        <x:v>31</x:v>
      </x:c>
      <x:c r="E5" s="1" t="s">
        <x:v>244</x:v>
      </x:c>
      <x:c r="F5" s="1" t="s">
        <x:v>245</x:v>
      </x:c>
      <x:c r="G5" s="1" t="s">
        <x:v>246</x:v>
      </x:c>
      <x:c r="H5" s="1" t="s">
        <x:v>247</x:v>
      </x:c>
      <x:c r="I5" s="1" t="s">
        <x:v>248</x:v>
      </x:c>
      <x:c r="J5" s="1" t="s">
        <x:v>249</x:v>
      </x:c>
      <x:c r="K5" s="1" t="s">
        <x:v>250</x:v>
      </x:c>
      <x:c r="L5" s="1" t="s">
        <x:v>251</x:v>
      </x:c>
      <x:c r="M5" s="1" t="s">
        <x:v>252</x:v>
      </x:c>
    </x:row>
    <x:row r="6" ht="36" customHeight="1">
      <x:c r="A6" s="73" t="str">
        <x:v>C1-01</x:v>
      </x:c>
      <x:c r="B6" s="73" t="str">
        <x:v>C1 — Users List</x:v>
      </x:c>
      <x:c r="C6" s="73" t="str">
        <x:v>Windows</x:v>
      </x:c>
      <x:c r="D6" s="73" t="str">
        <x:v>Edge</x:v>
      </x:c>
      <x:c r="E6" s="73" t="str">
        <x:v>Desktop</x:v>
      </x:c>
      <x:c r="F6" s="73" t="str">
        <x:v>TODO-HUMAN-EVIDENCE</x:v>
      </x:c>
      <x:c r="G6" s="73" t="str">
        <x:v>TODO-HUMAN-EVIDENCE</x:v>
      </x:c>
      <x:c r="H6" s="73" t="str">
        <x:v>BLOCKED</x:v>
      </x:c>
      <x:c r="I6" s="73" t="str">
        <x:v>TODO-HUMAN-EVIDENCE</x:v>
      </x:c>
      <x:c r="J6" s="73" t="str">
        <x:v>Planned only; do not assign Pass/Fail without a real screenshot.</x:v>
      </x:c>
      <x:c r="K6" s="80" t="str">
        <x:v>TODO-HUMAN-EVIDENCE</x:v>
      </x:c>
      <x:c r="L6" s="73" t="str">
        <x:v>23127430 — Đinh Hoàng Nam</x:v>
      </x:c>
      <x:c r="M6" s="73" t="str">
        <x:v>TODO-HUMAN-EVIDENCE</x:v>
      </x:c>
    </x:row>
    <x:row r="7" ht="36" customHeight="1">
      <x:c r="A7" s="74" t="str">
        <x:v>C1-02</x:v>
      </x:c>
      <x:c r="B7" s="74" t="str">
        <x:v>C1 — Users List</x:v>
      </x:c>
      <x:c r="C7" s="74" t="str">
        <x:v>Windows</x:v>
      </x:c>
      <x:c r="D7" s="74" t="str">
        <x:v>Firefox</x:v>
      </x:c>
      <x:c r="E7" s="74" t="str">
        <x:v>Desktop</x:v>
      </x:c>
      <x:c r="F7" s="74" t="str">
        <x:v>TODO-HUMAN-EVIDENCE</x:v>
      </x:c>
      <x:c r="G7" s="74" t="str">
        <x:v>TODO-HUMAN-EVIDENCE</x:v>
      </x:c>
      <x:c r="H7" s="74" t="str">
        <x:v>BLOCKED</x:v>
      </x:c>
      <x:c r="I7" s="74" t="str">
        <x:v>TODO-HUMAN-EVIDENCE</x:v>
      </x:c>
      <x:c r="J7" s="74" t="str">
        <x:v>Planned only; do not assign Pass/Fail without a real screenshot.</x:v>
      </x:c>
      <x:c r="K7" s="81" t="str">
        <x:v>TODO-HUMAN-EVIDENCE</x:v>
      </x:c>
      <x:c r="L7" s="74" t="str">
        <x:v>23127430 — Đinh Hoàng Nam</x:v>
      </x:c>
      <x:c r="M7" s="74" t="str">
        <x:v>TODO-HUMAN-EVIDENCE</x:v>
      </x:c>
    </x:row>
    <x:row r="8" ht="36" customHeight="1">
      <x:c r="A8" s="74" t="str">
        <x:v>C1-03</x:v>
      </x:c>
      <x:c r="B8" s="74" t="str">
        <x:v>C1 — Users List</x:v>
      </x:c>
      <x:c r="C8" s="74" t="str">
        <x:v>Windows</x:v>
      </x:c>
      <x:c r="D8" s="74" t="str">
        <x:v>Opera</x:v>
      </x:c>
      <x:c r="E8" s="74" t="str">
        <x:v>Desktop</x:v>
      </x:c>
      <x:c r="F8" s="74" t="str">
        <x:v>TODO-HUMAN-EVIDENCE</x:v>
      </x:c>
      <x:c r="G8" s="74" t="str">
        <x:v>TODO-HUMAN-EVIDENCE</x:v>
      </x:c>
      <x:c r="H8" s="74" t="str">
        <x:v>BLOCKED</x:v>
      </x:c>
      <x:c r="I8" s="74" t="str">
        <x:v>TODO-HUMAN-EVIDENCE</x:v>
      </x:c>
      <x:c r="J8" s="74" t="str">
        <x:v>Planned only; do not assign Pass/Fail without a real screenshot.</x:v>
      </x:c>
      <x:c r="K8" s="81" t="str">
        <x:v>TODO-HUMAN-EVIDENCE</x:v>
      </x:c>
      <x:c r="L8" s="74" t="str">
        <x:v>23127430 — Đinh Hoàng Nam</x:v>
      </x:c>
      <x:c r="M8" s="74" t="str">
        <x:v>TODO-HUMAN-EVIDENCE</x:v>
      </x:c>
    </x:row>
    <x:row r="9" ht="36" customHeight="1">
      <x:c r="A9" s="74" t="str">
        <x:v>C1-04</x:v>
      </x:c>
      <x:c r="B9" s="74" t="str">
        <x:v>C1 — Users List</x:v>
      </x:c>
      <x:c r="C9" s="74" t="str">
        <x:v>iPadOS</x:v>
      </x:c>
      <x:c r="D9" s="74" t="str">
        <x:v>Safari</x:v>
      </x:c>
      <x:c r="E9" s="74" t="str">
        <x:v>Tablet</x:v>
      </x:c>
      <x:c r="F9" s="74" t="str">
        <x:v>TODO-HUMAN-EVIDENCE</x:v>
      </x:c>
      <x:c r="G9" s="74" t="str">
        <x:v>TODO-HUMAN-EVIDENCE</x:v>
      </x:c>
      <x:c r="H9" s="74" t="str">
        <x:v>BLOCKED</x:v>
      </x:c>
      <x:c r="I9" s="74" t="str">
        <x:v>TODO-HUMAN-EVIDENCE</x:v>
      </x:c>
      <x:c r="J9" s="74" t="str">
        <x:v>Planned only; do not assign Pass/Fail without a real screenshot.</x:v>
      </x:c>
      <x:c r="K9" s="81" t="str">
        <x:v>TODO-HUMAN-EVIDENCE</x:v>
      </x:c>
      <x:c r="L9" s="74" t="str">
        <x:v>23127430 — Đinh Hoàng Nam</x:v>
      </x:c>
      <x:c r="M9" s="74" t="str">
        <x:v>TODO-HUMAN-EVIDENCE</x:v>
      </x:c>
    </x:row>
    <x:row r="10" ht="36" customHeight="1">
      <x:c r="A10" s="74" t="str">
        <x:v>C1-05</x:v>
      </x:c>
      <x:c r="B10" s="74" t="str">
        <x:v>C1 — Users List</x:v>
      </x:c>
      <x:c r="C10" s="74" t="str">
        <x:v>Android</x:v>
      </x:c>
      <x:c r="D10" s="74" t="str">
        <x:v>Chrome</x:v>
      </x:c>
      <x:c r="E10" s="74" t="str">
        <x:v>Phone</x:v>
      </x:c>
      <x:c r="F10" s="74" t="str">
        <x:v>TODO-HUMAN-EVIDENCE</x:v>
      </x:c>
      <x:c r="G10" s="74" t="str">
        <x:v>TODO-HUMAN-EVIDENCE</x:v>
      </x:c>
      <x:c r="H10" s="74" t="str">
        <x:v>BLOCKED</x:v>
      </x:c>
      <x:c r="I10" s="74" t="str">
        <x:v>TODO-HUMAN-EVIDENCE</x:v>
      </x:c>
      <x:c r="J10" s="74" t="str">
        <x:v>Planned only; do not assign Pass/Fail without a real screenshot.</x:v>
      </x:c>
      <x:c r="K10" s="81" t="str">
        <x:v>TODO-HUMAN-EVIDENCE</x:v>
      </x:c>
      <x:c r="L10" s="74" t="str">
        <x:v>23127430 — Đinh Hoàng Nam</x:v>
      </x:c>
      <x:c r="M10" s="74" t="str">
        <x:v>TODO-HUMAN-EVIDENCE</x:v>
      </x:c>
    </x:row>
    <x:row r="11" ht="36" customHeight="1">
      <x:c r="A11" s="74" t="str">
        <x:v>C2-01</x:v>
      </x:c>
      <x:c r="B11" s="74" t="str">
        <x:v>C2 — Assign Role / Edit User</x:v>
      </x:c>
      <x:c r="C11" s="74" t="str">
        <x:v>Windows</x:v>
      </x:c>
      <x:c r="D11" s="74" t="str">
        <x:v>Edge</x:v>
      </x:c>
      <x:c r="E11" s="74" t="str">
        <x:v>Desktop</x:v>
      </x:c>
      <x:c r="F11" s="74" t="str">
        <x:v>TODO-HUMAN-EVIDENCE</x:v>
      </x:c>
      <x:c r="G11" s="74" t="str">
        <x:v>TODO-HUMAN-EVIDENCE</x:v>
      </x:c>
      <x:c r="H11" s="74" t="str">
        <x:v>BLOCKED</x:v>
      </x:c>
      <x:c r="I11" s="74" t="str">
        <x:v>TODO-HUMAN-EVIDENCE</x:v>
      </x:c>
      <x:c r="J11" s="74" t="str">
        <x:v>Planned only; do not assign Pass/Fail without a real screenshot.</x:v>
      </x:c>
      <x:c r="K11" s="81" t="str">
        <x:v>TODO-HUMAN-EVIDENCE</x:v>
      </x:c>
      <x:c r="L11" s="74" t="str">
        <x:v>23127430 — Đinh Hoàng Nam</x:v>
      </x:c>
      <x:c r="M11" s="74" t="str">
        <x:v>TODO-HUMAN-EVIDENCE</x:v>
      </x:c>
    </x:row>
    <x:row r="12" ht="36" customHeight="1">
      <x:c r="A12" s="74" t="str">
        <x:v>C2-02</x:v>
      </x:c>
      <x:c r="B12" s="74" t="str">
        <x:v>C2 — Assign Role / Edit User</x:v>
      </x:c>
      <x:c r="C12" s="74" t="str">
        <x:v>Windows</x:v>
      </x:c>
      <x:c r="D12" s="74" t="str">
        <x:v>Firefox</x:v>
      </x:c>
      <x:c r="E12" s="74" t="str">
        <x:v>Desktop</x:v>
      </x:c>
      <x:c r="F12" s="74" t="str">
        <x:v>TODO-HUMAN-EVIDENCE</x:v>
      </x:c>
      <x:c r="G12" s="74" t="str">
        <x:v>TODO-HUMAN-EVIDENCE</x:v>
      </x:c>
      <x:c r="H12" s="74" t="str">
        <x:v>BLOCKED</x:v>
      </x:c>
      <x:c r="I12" s="74" t="str">
        <x:v>TODO-HUMAN-EVIDENCE</x:v>
      </x:c>
      <x:c r="J12" s="74" t="str">
        <x:v>Planned only; do not assign Pass/Fail without a real screenshot.</x:v>
      </x:c>
      <x:c r="K12" s="81" t="str">
        <x:v>TODO-HUMAN-EVIDENCE</x:v>
      </x:c>
      <x:c r="L12" s="74" t="str">
        <x:v>23127430 — Đinh Hoàng Nam</x:v>
      </x:c>
      <x:c r="M12" s="74" t="str">
        <x:v>TODO-HUMAN-EVIDENCE</x:v>
      </x:c>
    </x:row>
    <x:row r="13" ht="36" customHeight="1">
      <x:c r="A13" s="74" t="str">
        <x:v>C2-03</x:v>
      </x:c>
      <x:c r="B13" s="74" t="str">
        <x:v>C2 — Assign Role / Edit User</x:v>
      </x:c>
      <x:c r="C13" s="74" t="str">
        <x:v>Windows</x:v>
      </x:c>
      <x:c r="D13" s="74" t="str">
        <x:v>Opera</x:v>
      </x:c>
      <x:c r="E13" s="74" t="str">
        <x:v>Desktop</x:v>
      </x:c>
      <x:c r="F13" s="74" t="str">
        <x:v>TODO-HUMAN-EVIDENCE</x:v>
      </x:c>
      <x:c r="G13" s="74" t="str">
        <x:v>TODO-HUMAN-EVIDENCE</x:v>
      </x:c>
      <x:c r="H13" s="74" t="str">
        <x:v>BLOCKED</x:v>
      </x:c>
      <x:c r="I13" s="74" t="str">
        <x:v>TODO-HUMAN-EVIDENCE</x:v>
      </x:c>
      <x:c r="J13" s="74" t="str">
        <x:v>Planned only; do not assign Pass/Fail without a real screenshot.</x:v>
      </x:c>
      <x:c r="K13" s="81" t="str">
        <x:v>TODO-HUMAN-EVIDENCE</x:v>
      </x:c>
      <x:c r="L13" s="74" t="str">
        <x:v>23127430 — Đinh Hoàng Nam</x:v>
      </x:c>
      <x:c r="M13" s="74" t="str">
        <x:v>TODO-HUMAN-EVIDENCE</x:v>
      </x:c>
    </x:row>
    <x:row r="14" ht="36" customHeight="1">
      <x:c r="A14" s="74" t="str">
        <x:v>C2-04</x:v>
      </x:c>
      <x:c r="B14" s="74" t="str">
        <x:v>C2 — Assign Role / Edit User</x:v>
      </x:c>
      <x:c r="C14" s="74" t="str">
        <x:v>iPadOS</x:v>
      </x:c>
      <x:c r="D14" s="74" t="str">
        <x:v>Safari</x:v>
      </x:c>
      <x:c r="E14" s="74" t="str">
        <x:v>Tablet</x:v>
      </x:c>
      <x:c r="F14" s="74" t="str">
        <x:v>TODO-HUMAN-EVIDENCE</x:v>
      </x:c>
      <x:c r="G14" s="74" t="str">
        <x:v>TODO-HUMAN-EVIDENCE</x:v>
      </x:c>
      <x:c r="H14" s="74" t="str">
        <x:v>BLOCKED</x:v>
      </x:c>
      <x:c r="I14" s="74" t="str">
        <x:v>TODO-HUMAN-EVIDENCE</x:v>
      </x:c>
      <x:c r="J14" s="74" t="str">
        <x:v>Planned only; do not assign Pass/Fail without a real screenshot.</x:v>
      </x:c>
      <x:c r="K14" s="81" t="str">
        <x:v>TODO-HUMAN-EVIDENCE</x:v>
      </x:c>
      <x:c r="L14" s="74" t="str">
        <x:v>23127430 — Đinh Hoàng Nam</x:v>
      </x:c>
      <x:c r="M14" s="74" t="str">
        <x:v>TODO-HUMAN-EVIDENCE</x:v>
      </x:c>
    </x:row>
    <x:row r="15" ht="36" customHeight="1">
      <x:c r="A15" s="74" t="str">
        <x:v>C2-05</x:v>
      </x:c>
      <x:c r="B15" s="74" t="str">
        <x:v>C2 — Assign Role / Edit User</x:v>
      </x:c>
      <x:c r="C15" s="74" t="str">
        <x:v>Android</x:v>
      </x:c>
      <x:c r="D15" s="74" t="str">
        <x:v>Chrome</x:v>
      </x:c>
      <x:c r="E15" s="74" t="str">
        <x:v>Phone</x:v>
      </x:c>
      <x:c r="F15" s="74" t="str">
        <x:v>TODO-HUMAN-EVIDENCE</x:v>
      </x:c>
      <x:c r="G15" s="74" t="str">
        <x:v>TODO-HUMAN-EVIDENCE</x:v>
      </x:c>
      <x:c r="H15" s="74" t="str">
        <x:v>BLOCKED</x:v>
      </x:c>
      <x:c r="I15" s="74" t="str">
        <x:v>TODO-HUMAN-EVIDENCE</x:v>
      </x:c>
      <x:c r="J15" s="74" t="str">
        <x:v>Planned only; do not assign Pass/Fail without a real screenshot.</x:v>
      </x:c>
      <x:c r="K15" s="81" t="str">
        <x:v>TODO-HUMAN-EVIDENCE</x:v>
      </x:c>
      <x:c r="L15" s="74" t="str">
        <x:v>23127430 — Đinh Hoàng Nam</x:v>
      </x:c>
      <x:c r="M15" s="74" t="str">
        <x:v>TODO-HUMAN-EVIDENCE</x:v>
      </x:c>
    </x:row>
    <x:row r="16" ht="36" customHeight="1">
      <x:c r="A16" s="74" t="str">
        <x:v>C3-01</x:v>
      </x:c>
      <x:c r="B16" s="74" t="str">
        <x:v>C3 — Block/Unblock and Reset Password dialogs</x:v>
      </x:c>
      <x:c r="C16" s="74" t="str">
        <x:v>Windows</x:v>
      </x:c>
      <x:c r="D16" s="74" t="str">
        <x:v>Edge</x:v>
      </x:c>
      <x:c r="E16" s="74" t="str">
        <x:v>Desktop</x:v>
      </x:c>
      <x:c r="F16" s="74" t="str">
        <x:v>TODO-HUMAN-EVIDENCE</x:v>
      </x:c>
      <x:c r="G16" s="74" t="str">
        <x:v>TODO-HUMAN-EVIDENCE</x:v>
      </x:c>
      <x:c r="H16" s="74" t="str">
        <x:v>BLOCKED</x:v>
      </x:c>
      <x:c r="I16" s="74" t="str">
        <x:v>TODO-HUMAN-EVIDENCE</x:v>
      </x:c>
      <x:c r="J16" s="74" t="str">
        <x:v>Planned only; do not assign Pass/Fail without a real screenshot.</x:v>
      </x:c>
      <x:c r="K16" s="81" t="str">
        <x:v>TODO-HUMAN-EVIDENCE</x:v>
      </x:c>
      <x:c r="L16" s="74" t="str">
        <x:v>23127430 — Đinh Hoàng Nam</x:v>
      </x:c>
      <x:c r="M16" s="74" t="str">
        <x:v>TODO-HUMAN-EVIDENCE</x:v>
      </x:c>
    </x:row>
    <x:row r="17" ht="36" customHeight="1">
      <x:c r="A17" s="74" t="str">
        <x:v>C3-02</x:v>
      </x:c>
      <x:c r="B17" s="74" t="str">
        <x:v>C3 — Block/Unblock and Reset Password dialogs</x:v>
      </x:c>
      <x:c r="C17" s="74" t="str">
        <x:v>Windows</x:v>
      </x:c>
      <x:c r="D17" s="74" t="str">
        <x:v>Firefox</x:v>
      </x:c>
      <x:c r="E17" s="74" t="str">
        <x:v>Desktop</x:v>
      </x:c>
      <x:c r="F17" s="74" t="str">
        <x:v>TODO-HUMAN-EVIDENCE</x:v>
      </x:c>
      <x:c r="G17" s="74" t="str">
        <x:v>TODO-HUMAN-EVIDENCE</x:v>
      </x:c>
      <x:c r="H17" s="74" t="str">
        <x:v>BLOCKED</x:v>
      </x:c>
      <x:c r="I17" s="74" t="str">
        <x:v>TODO-HUMAN-EVIDENCE</x:v>
      </x:c>
      <x:c r="J17" s="74" t="str">
        <x:v>Planned only; do not assign Pass/Fail without a real screenshot.</x:v>
      </x:c>
      <x:c r="K17" s="81" t="str">
        <x:v>TODO-HUMAN-EVIDENCE</x:v>
      </x:c>
      <x:c r="L17" s="74" t="str">
        <x:v>23127430 — Đinh Hoàng Nam</x:v>
      </x:c>
      <x:c r="M17" s="74" t="str">
        <x:v>TODO-HUMAN-EVIDENCE</x:v>
      </x:c>
    </x:row>
    <x:row r="18" ht="36" customHeight="1">
      <x:c r="A18" s="74" t="str">
        <x:v>C3-03</x:v>
      </x:c>
      <x:c r="B18" s="74" t="str">
        <x:v>C3 — Block/Unblock and Reset Password dialogs</x:v>
      </x:c>
      <x:c r="C18" s="74" t="str">
        <x:v>Windows</x:v>
      </x:c>
      <x:c r="D18" s="74" t="str">
        <x:v>Opera</x:v>
      </x:c>
      <x:c r="E18" s="74" t="str">
        <x:v>Desktop</x:v>
      </x:c>
      <x:c r="F18" s="74" t="str">
        <x:v>TODO-HUMAN-EVIDENCE</x:v>
      </x:c>
      <x:c r="G18" s="74" t="str">
        <x:v>TODO-HUMAN-EVIDENCE</x:v>
      </x:c>
      <x:c r="H18" s="74" t="str">
        <x:v>BLOCKED</x:v>
      </x:c>
      <x:c r="I18" s="74" t="str">
        <x:v>TODO-HUMAN-EVIDENCE</x:v>
      </x:c>
      <x:c r="J18" s="74" t="str">
        <x:v>Planned only; do not assign Pass/Fail without a real screenshot.</x:v>
      </x:c>
      <x:c r="K18" s="81" t="str">
        <x:v>TODO-HUMAN-EVIDENCE</x:v>
      </x:c>
      <x:c r="L18" s="74" t="str">
        <x:v>23127430 — Đinh Hoàng Nam</x:v>
      </x:c>
      <x:c r="M18" s="74" t="str">
        <x:v>TODO-HUMAN-EVIDENCE</x:v>
      </x:c>
    </x:row>
    <x:row r="19" ht="36" customHeight="1">
      <x:c r="A19" s="74" t="str">
        <x:v>C3-04</x:v>
      </x:c>
      <x:c r="B19" s="74" t="str">
        <x:v>C3 — Block/Unblock and Reset Password dialogs</x:v>
      </x:c>
      <x:c r="C19" s="74" t="str">
        <x:v>iPadOS</x:v>
      </x:c>
      <x:c r="D19" s="74" t="str">
        <x:v>Safari</x:v>
      </x:c>
      <x:c r="E19" s="74" t="str">
        <x:v>Tablet</x:v>
      </x:c>
      <x:c r="F19" s="74" t="str">
        <x:v>TODO-HUMAN-EVIDENCE</x:v>
      </x:c>
      <x:c r="G19" s="74" t="str">
        <x:v>TODO-HUMAN-EVIDENCE</x:v>
      </x:c>
      <x:c r="H19" s="74" t="str">
        <x:v>BLOCKED</x:v>
      </x:c>
      <x:c r="I19" s="74" t="str">
        <x:v>TODO-HUMAN-EVIDENCE</x:v>
      </x:c>
      <x:c r="J19" s="74" t="str">
        <x:v>Planned only; do not assign Pass/Fail without a real screenshot.</x:v>
      </x:c>
      <x:c r="K19" s="81" t="str">
        <x:v>TODO-HUMAN-EVIDENCE</x:v>
      </x:c>
      <x:c r="L19" s="74" t="str">
        <x:v>23127430 — Đinh Hoàng Nam</x:v>
      </x:c>
      <x:c r="M19" s="74" t="str">
        <x:v>TODO-HUMAN-EVIDENCE</x:v>
      </x:c>
    </x:row>
    <x:row r="20" ht="36" customHeight="1">
      <x:c r="A20" s="76" t="str">
        <x:v>C3-05</x:v>
      </x:c>
      <x:c r="B20" s="76" t="str">
        <x:v>C3 — Block/Unblock and Reset Password dialogs</x:v>
      </x:c>
      <x:c r="C20" s="76" t="str">
        <x:v>Android</x:v>
      </x:c>
      <x:c r="D20" s="76" t="str">
        <x:v>Chrome</x:v>
      </x:c>
      <x:c r="E20" s="76" t="str">
        <x:v>Phone</x:v>
      </x:c>
      <x:c r="F20" s="76" t="str">
        <x:v>TODO-HUMAN-EVIDENCE</x:v>
      </x:c>
      <x:c r="G20" s="76" t="str">
        <x:v>TODO-HUMAN-EVIDENCE</x:v>
      </x:c>
      <x:c r="H20" s="76" t="str">
        <x:v>BLOCKED</x:v>
      </x:c>
      <x:c r="I20" s="76" t="str">
        <x:v>TODO-HUMAN-EVIDENCE</x:v>
      </x:c>
      <x:c r="J20" s="76" t="str">
        <x:v>Planned only; do not assign Pass/Fail without a real screenshot.</x:v>
      </x:c>
      <x:c r="K20" s="82" t="str">
        <x:v>TODO-HUMAN-EVIDENCE</x:v>
      </x:c>
      <x:c r="L20" s="76" t="str">
        <x:v>23127430 — Đinh Hoàng Nam</x:v>
      </x:c>
      <x:c r="M20" s="76" t="str">
        <x:v>TODO-HUMAN-EVIDENCE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  <x:mergeCell ref="A4:M4"/>
  </x:mergeCells>
  <x:conditionalFormatting sqref="H6:H20">
    <x:cfRule type="containsText" dxfId="14" priority="1" operator="containsText" text="Passed">
      <x:formula>NOT(ISERROR(SEARCH(("Passed"),(H6))))</x:formula>
    </x:cfRule>
    <x:cfRule type="containsText" dxfId="13" priority="2" operator="containsText" text="Failed">
      <x:formula>NOT(ISERROR(SEARCH(("Failed"),(H6))))</x:formula>
    </x:cfRule>
    <x:cfRule type="containsText" dxfId="12" priority="3" operator="containsText" text="Not Run">
      <x:formula>NOT(ISERROR(SEARCH(("Not Run"),(H6))))</x:formula>
    </x:cfRule>
  </x:conditionalFormatting>
  <x:dataValidations count="1">
    <x:dataValidation type="list" allowBlank="1" sqref="H6:H20">
      <x:formula1>"BLOCKED,Pass,Fail"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3849d494594f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14" customWidth="1"/>
    <x:col min="2" max="2" width="55" customWidth="1"/>
    <x:col min="3" max="3" width="30" customWidth="1"/>
    <x:col min="4" max="4" width="22" customWidth="1"/>
    <x:col min="5" max="5" width="32" customWidth="1"/>
    <x:col min="6" max="6" width="14" customWidth="1"/>
    <x:col min="7" max="7" width="16" customWidth="1"/>
    <x:col min="8" max="8" width="22" customWidth="1"/>
    <x:col min="9" max="9" width="18" customWidth="1"/>
    <x:col min="10" max="10" width="22" customWidth="1"/>
    <x:col min="11" max="11" width="28" customWidth="1"/>
    <x:col min="12" max="12" width="55" customWidth="1"/>
    <x:col min="13" max="13" width="20" customWidth="1"/>
    <x:col min="14" max="26" width="8.625" customWidth="1"/>
  </x:cols>
  <x:sheetData>
    <x:row r="1" ht="33.75" customHeight="1">
      <x:c r="A1" s="28" t="s">
        <x:v>253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1.5" customHeight="1">
      <x:c r="A2" s="29" t="s">
        <x:v>254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5" ht="30" customHeight="1">
      <x:c r="A5" s="1" t="s">
        <x:v>255</x:v>
      </x:c>
      <x:c r="B5" s="1" t="s">
        <x:v>256</x:v>
      </x:c>
      <x:c r="C5" s="1" t="s">
        <x:v>257</x:v>
      </x:c>
      <x:c r="D5" s="1" t="s">
        <x:v>258</x:v>
      </x:c>
      <x:c r="E5" s="1" t="s">
        <x:v>259</x:v>
      </x:c>
      <x:c r="F5" s="1" t="s">
        <x:v>260</x:v>
      </x:c>
      <x:c r="G5" s="1" t="s">
        <x:v>261</x:v>
      </x:c>
      <x:c r="H5" s="1" t="s">
        <x:v>262</x:v>
      </x:c>
      <x:c r="I5" s="1" t="s">
        <x:v>263</x:v>
      </x:c>
      <x:c r="J5" s="1" t="s">
        <x:v>264</x:v>
      </x:c>
      <x:c r="K5" s="1" t="s">
        <x:v>265</x:v>
      </x:c>
      <x:c r="L5" s="1" t="s">
        <x:v>266</x:v>
      </x:c>
      <x:c r="M5" s="1" t="s">
        <x:v>131</x:v>
      </x:c>
    </x:row>
    <x:row r="6" ht="14.25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14.25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14.25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14.25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14.25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 ht="14.25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14.25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 ht="14.25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 ht="14.25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 ht="14.2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14.25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14.25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4.25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14.25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14.25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</x:mergeCells>
  <x:conditionalFormatting sqref="F6:F35">
    <x:cfRule type="cellIs" dxfId="11" priority="1" operator="equal">
      <x:formula>4</x:formula>
    </x:cfRule>
    <x:cfRule type="cellIs" dxfId="10" priority="2" operator="equal">
      <x:formula>3</x:formula>
    </x:cfRule>
    <x:cfRule type="cellIs" dxfId="9" priority="3" operator="equal">
      <x:formula>2</x:formula>
    </x:cfRule>
    <x:cfRule type="cellIs" dxfId="8" priority="4" operator="equal">
      <x:formula>1</x:formula>
    </x:cfRule>
    <x:cfRule type="cellIs" dxfId="7" priority="5" operator="equal">
      <x:formula>0</x:formula>
    </x:cfRule>
  </x:conditionalFormatting>
  <x:dataValidations count="3">
    <x:dataValidation type="decimal" allowBlank="1" sqref="F6:F35">
      <x:formula1>0</x:formula1>
      <x:formula2>4</x:formula2>
    </x:dataValidation>
    <x:dataValidation type="list" allowBlank="1" sqref="M6:M35">
      <x:formula1>"Open,Reviewed,Submitted to Form,Fixed / Retested"</x:formula1>
    </x:dataValidation>
    <x:dataValidation type="list" allowBlank="1" sqref="J6:J35">
      <x:formula1>"Usability,Bug,Systemic Design Issue"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77f078eda147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26" hidden="0" customWidth="1"/>
    <x:col min="2" max="2" width="28" customWidth="1"/>
    <x:col min="3" max="3" width="14" customWidth="1"/>
    <x:col min="4" max="5" width="55" customWidth="1"/>
    <x:col min="6" max="7" width="40" customWidth="1"/>
    <x:col min="8" max="8" width="12" customWidth="1"/>
    <x:col min="9" max="9" width="50" customWidth="1"/>
    <x:col min="10" max="10" width="30" customWidth="1"/>
    <x:col min="11" max="11" width="16" customWidth="1"/>
    <x:col min="12" max="12" width="24" customWidth="1"/>
    <x:col min="13" max="14" width="30" customWidth="1"/>
    <x:col min="15" max="15" width="22" customWidth="1"/>
    <x:col min="16" max="26" width="8.625" customWidth="1"/>
  </x:cols>
  <x:sheetData>
    <x:row r="1" ht="33.75" customHeight="1">
      <x:c r="A1" s="28" t="s">
        <x:v>267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 ht="31.5" customHeight="1">
      <x:c r="A2" s="29" t="s">
        <x:v>268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4">
      <x:c r="A4" s="37" t="str">
        <x:v>Reporter email: 23127430@[TODO-INSTITUTION-DOMAIN]. Submit the Google Form manually only after evidence confirmation.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 ht="30" customHeight="1">
      <x:c r="A5" s="1" t="s">
        <x:v>178</x:v>
      </x:c>
      <x:c r="B5" s="1" t="s">
        <x:v>269</x:v>
      </x:c>
      <x:c r="C5" s="1" t="s">
        <x:v>264</x:v>
      </x:c>
      <x:c r="D5" s="1" t="s">
        <x:v>270</x:v>
      </x:c>
      <x:c r="E5" s="1" t="s">
        <x:v>271</x:v>
      </x:c>
      <x:c r="F5" s="1" t="s">
        <x:v>272</x:v>
      </x:c>
      <x:c r="G5" s="1" t="s">
        <x:v>273</x:v>
      </x:c>
      <x:c r="H5" s="1" t="s">
        <x:v>274</x:v>
      </x:c>
      <x:c r="I5" s="1" t="s">
        <x:v>275</x:v>
      </x:c>
      <x:c r="J5" s="1" t="s">
        <x:v>248</x:v>
      </x:c>
      <x:c r="K5" s="1" t="s">
        <x:v>276</x:v>
      </x:c>
      <x:c r="L5" s="1" t="s">
        <x:v>277</x:v>
      </x:c>
      <x:c r="M5" s="1" t="s">
        <x:v>278</x:v>
      </x:c>
      <x:c r="N5" s="1" t="s">
        <x:v>279</x:v>
      </x:c>
      <x:c r="O5" s="1" t="s">
        <x:v>131</x:v>
      </x:c>
    </x:row>
    <x:row r="6" ht="48" customHeight="1">
      <x:c r="A6" s="73" t="str">
        <x:v>DRAFT-C3-RESET-001</x:v>
      </x:c>
      <x:c r="B6" s="73" t="str">
        <x:v>Scenario C / C3</x:v>
      </x:c>
      <x:c r="C6" s="73" t="str">
        <x:v>Bug candidate</x:v>
      </x:c>
      <x:c r="D6" s="73" t="str">
        <x:v>Reset Password action is reportedly not visible; not a confirmed defect.</x:v>
      </x:c>
      <x:c r="E6" s="73" t="str">
        <x:v>TODO-HUMAN-EVIDENCE: reproduce from Admin → Users List</x:v>
      </x:c>
      <x:c r="F6" s="73" t="str">
        <x:v>Authorised admin can locate and initiate Reset Password with confirmation and audit feedback.</x:v>
      </x:c>
      <x:c r="G6" s="73" t="str">
        <x:v>TODO-HUMAN-EVIDENCE</x:v>
      </x:c>
      <x:c r="H6" s="73" t="str">
        <x:v>TODO-HUMAN-EVIDENCE</x:v>
      </x:c>
      <x:c r="I6" s="73" t="str">
        <x:v>TODO-HUMAN-EVIDENCE</x:v>
      </x:c>
      <x:c r="J6" s="73" t="str">
        <x:v>TODO-HUMAN-EVIDENCE</x:v>
      </x:c>
      <x:c r="K6" s="73" t="str">
        <x:v>Preliminary observation / Task 1 and Task 2</x:v>
      </x:c>
      <x:c r="L6" s="84" t="str">
        <x:v>TODO-HUMAN-EVIDENCE</x:v>
      </x:c>
      <x:c r="M6" s="73" t="str">
        <x:v>TODO-HUMAN-EVIDENCE</x:v>
      </x:c>
      <x:c r="N6" s="73" t="str">
        <x:v>23127430@[TODO-INSTITUTION-DOMAIN]</x:v>
      </x:c>
      <x:c r="O6" s="73" t="str">
        <x:v>Evidence Required</x:v>
      </x:c>
    </x:row>
    <x:row r="7" ht="14.25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22"/>
      <x:c r="M7" s="3"/>
      <x:c r="N7" s="3"/>
      <x:c r="O7" s="3"/>
    </x:row>
    <x:row r="8" ht="14.25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22"/>
      <x:c r="M8" s="3"/>
      <x:c r="N8" s="3"/>
      <x:c r="O8" s="3"/>
    </x:row>
    <x:row r="9" ht="14.25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22"/>
      <x:c r="M9" s="3"/>
      <x:c r="N9" s="3"/>
      <x:c r="O9" s="3"/>
    </x:row>
    <x:row r="10" ht="14.25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22"/>
      <x:c r="M10" s="3"/>
      <x:c r="N10" s="3"/>
      <x:c r="O10" s="3"/>
    </x:row>
    <x:row r="11" ht="14.25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22"/>
      <x:c r="M11" s="3"/>
      <x:c r="N11" s="3"/>
      <x:c r="O11" s="3"/>
    </x:row>
    <x:row r="12" ht="14.25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22"/>
      <x:c r="M12" s="3"/>
      <x:c r="N12" s="3"/>
      <x:c r="O12" s="3"/>
    </x:row>
    <x:row r="13" ht="14.25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22"/>
      <x:c r="M13" s="3"/>
      <x:c r="N13" s="3"/>
      <x:c r="O13" s="3"/>
    </x:row>
    <x:row r="14" ht="14.25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22"/>
      <x:c r="M14" s="3"/>
      <x:c r="N14" s="3"/>
      <x:c r="O14" s="3"/>
    </x:row>
    <x:row r="15" ht="14.2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22"/>
      <x:c r="M15" s="3"/>
      <x:c r="N15" s="3"/>
      <x:c r="O15" s="3"/>
    </x:row>
    <x:row r="16" ht="14.25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22"/>
      <x:c r="M16" s="3"/>
      <x:c r="N16" s="3"/>
      <x:c r="O16" s="3"/>
    </x:row>
    <x:row r="17" ht="14.25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22"/>
      <x:c r="M17" s="3"/>
      <x:c r="N17" s="3"/>
      <x:c r="O17" s="3"/>
    </x:row>
    <x:row r="18" ht="14.25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22"/>
      <x:c r="M18" s="3"/>
      <x:c r="N18" s="3"/>
      <x:c r="O18" s="3"/>
    </x:row>
    <x:row r="19" ht="14.25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22"/>
      <x:c r="M19" s="3"/>
      <x:c r="N19" s="3"/>
      <x:c r="O19" s="3"/>
    </x:row>
    <x:row r="20" ht="14.25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22"/>
      <x:c r="M20" s="3"/>
      <x:c r="N20" s="3"/>
      <x:c r="O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22"/>
      <x:c r="M21" s="3"/>
      <x:c r="N21" s="3"/>
      <x:c r="O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22"/>
      <x:c r="M22" s="3"/>
      <x:c r="N22" s="3"/>
      <x:c r="O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22"/>
      <x:c r="M23" s="3"/>
      <x:c r="N23" s="3"/>
      <x:c r="O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22"/>
      <x:c r="M24" s="3"/>
      <x:c r="N24" s="3"/>
      <x:c r="O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22"/>
      <x:c r="M25" s="3"/>
      <x:c r="N25" s="3"/>
      <x:c r="O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22"/>
      <x:c r="M26" s="3"/>
      <x:c r="N26" s="3"/>
      <x:c r="O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22"/>
      <x:c r="M27" s="3"/>
      <x:c r="N27" s="3"/>
      <x:c r="O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22"/>
      <x:c r="M28" s="3"/>
      <x:c r="N28" s="3"/>
      <x:c r="O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22"/>
      <x:c r="M29" s="3"/>
      <x:c r="N29" s="3"/>
      <x:c r="O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22"/>
      <x:c r="M30" s="3"/>
      <x:c r="N30" s="3"/>
      <x:c r="O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22"/>
      <x:c r="M31" s="3"/>
      <x:c r="N31" s="3"/>
      <x:c r="O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22"/>
      <x:c r="M32" s="3"/>
      <x:c r="N32" s="3"/>
      <x:c r="O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22"/>
      <x:c r="M33" s="3"/>
      <x:c r="N33" s="3"/>
      <x:c r="O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22"/>
      <x:c r="M34" s="3"/>
      <x:c r="N34" s="3"/>
      <x:c r="O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22"/>
      <x:c r="M35" s="3"/>
      <x:c r="N35" s="3"/>
      <x:c r="O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22"/>
      <x:c r="M36" s="3"/>
      <x:c r="N36" s="3"/>
      <x:c r="O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22"/>
      <x:c r="M37" s="3"/>
      <x:c r="N37" s="3"/>
      <x:c r="O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22"/>
      <x:c r="M38" s="3"/>
      <x:c r="N38" s="3"/>
      <x:c r="O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22"/>
      <x:c r="M39" s="3"/>
      <x:c r="N39" s="3"/>
      <x:c r="O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22"/>
      <x:c r="M40" s="3"/>
      <x:c r="N40" s="3"/>
      <x:c r="O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22"/>
      <x:c r="M41" s="3"/>
      <x:c r="N41" s="3"/>
      <x:c r="O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22"/>
      <x:c r="M42" s="3"/>
      <x:c r="N42" s="3"/>
      <x:c r="O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22"/>
      <x:c r="M43" s="3"/>
      <x:c r="N43" s="3"/>
      <x:c r="O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22"/>
      <x:c r="M44" s="3"/>
      <x:c r="N44" s="3"/>
      <x:c r="O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22"/>
      <x:c r="M45" s="3"/>
      <x:c r="N45" s="3"/>
      <x:c r="O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22"/>
      <x:c r="M46" s="3"/>
      <x:c r="N46" s="3"/>
      <x:c r="O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22"/>
      <x:c r="M47" s="3"/>
      <x:c r="N47" s="3"/>
      <x:c r="O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22"/>
      <x:c r="M48" s="3"/>
      <x:c r="N48" s="3"/>
      <x:c r="O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22"/>
      <x:c r="M49" s="3"/>
      <x:c r="N49" s="3"/>
      <x:c r="O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22"/>
      <x:c r="M50" s="3"/>
      <x:c r="N50" s="3"/>
      <x:c r="O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22"/>
      <x:c r="M51" s="3"/>
      <x:c r="N51" s="3"/>
      <x:c r="O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22"/>
      <x:c r="M52" s="3"/>
      <x:c r="N52" s="3"/>
      <x:c r="O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22"/>
      <x:c r="M53" s="3"/>
      <x:c r="N53" s="3"/>
      <x:c r="O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22"/>
      <x:c r="M54" s="3"/>
      <x:c r="N54" s="3"/>
      <x:c r="O54" s="3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23"/>
      <x:c r="M55" s="6"/>
      <x:c r="N55" s="6"/>
      <x:c r="O55" s="6"/>
    </x:row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2"/>
    <x:mergeCell ref="A4:O4"/>
  </x:mergeCells>
  <x:conditionalFormatting sqref="H6:H55">
    <x:cfRule type="cellIs" dxfId="6" priority="1" operator="equal">
      <x:formula>4</x:formula>
    </x:cfRule>
    <x:cfRule type="cellIs" dxfId="5" priority="2" operator="equal">
      <x:formula>3</x:formula>
    </x:cfRule>
    <x:cfRule type="cellIs" dxfId="4" priority="3" operator="equal">
      <x:formula>2</x:formula>
    </x:cfRule>
    <x:cfRule type="cellIs" dxfId="3" priority="4" operator="equal">
      <x:formula>1</x:formula>
    </x:cfRule>
    <x:cfRule type="cellIs" dxfId="2" priority="5" operator="equal">
      <x:formula>0</x:formula>
    </x:cfRule>
  </x:conditionalFormatting>
  <x:dataValidations count="4">
    <x:dataValidation type="decimal" allowBlank="1" sqref="H6:H55">
      <x:formula1>0</x:formula1>
      <x:formula2>4</x:formula2>
    </x:dataValidation>
    <x:dataValidation type="list" allowBlank="1" sqref="C6:C55">
      <x:formula1>"Bug,Usability"</x:formula1>
    </x:dataValidation>
    <x:dataValidation type="list" allowBlank="1" sqref="O6:O55">
      <x:formula1>"Draft,Evidence Verified,Submitted to Form,Retested / Closed"</x:formula1>
    </x:dataValidation>
    <x:dataValidation type="list" allowBlank="1" sqref="K6:K55">
      <x:formula1>"Task 1B,Task 2,Task 3,Multiple Tasks"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642e2a32a149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2.625" defaultRowHeight="15"/>
  <x:cols>
    <x:col min="1" max="1" width="28" customWidth="1"/>
    <x:col min="2" max="2" width="70" customWidth="1"/>
    <x:col min="3" max="3" width="45" customWidth="1"/>
    <x:col min="4" max="5" width="18" customWidth="1"/>
    <x:col min="6" max="26" width="8.625" customWidth="1"/>
  </x:cols>
  <x:sheetData>
    <x:row r="1" ht="33.75" customHeight="1">
      <x:c r="A1" s="28" t="s">
        <x:v>280</x:v>
      </x:c>
      <x:c r="B1" s="27"/>
      <x:c r="C1" s="27"/>
      <x:c r="D1" s="27"/>
      <x:c r="E1" s="27"/>
    </x:row>
    <x:row r="2" ht="31.5" customHeight="1">
      <x:c r="A2" s="29" t="s">
        <x:v>281</x:v>
      </x:c>
      <x:c r="B2" s="27"/>
      <x:c r="C2" s="27"/>
      <x:c r="D2" s="27"/>
      <x:c r="E2" s="27"/>
    </x:row>
    <x:row r="5" ht="30" customHeight="1">
      <x:c r="A5" s="1" t="s">
        <x:v>282</x:v>
      </x:c>
      <x:c r="B5" s="1" t="s">
        <x:v>283</x:v>
      </x:c>
      <x:c r="C5" s="1" t="s">
        <x:v>284</x:v>
      </x:c>
      <x:c r="D5" s="1" t="s">
        <x:v>285</x:v>
      </x:c>
      <x:c r="E5" s="1" t="s">
        <x:v>286</x:v>
      </x:c>
    </x:row>
    <x:row r="6" ht="14.25">
      <x:c r="A6" s="2" t="str">
        <x:v>1. Cover / Metadata</x:v>
      </x:c>
      <x:c r="B6" s="2" t="str">
        <x:v>Student, ID, class, scenario, C1-C3, SUT, dates, environment</x:v>
      </x:c>
      <x:c r="C6" s="2" t="str">
        <x:v>README + main_report</x:v>
      </x:c>
      <x:c r="D6" s="2" t="str">
        <x:v>Individual</x:v>
      </x:c>
      <x:c r="E6" s="2" t="str">
        <x:v>BLOCKED</x:v>
      </x:c>
    </x:row>
    <x:row r="7" ht="14.25">
      <x:c r="A7" s="3" t="str">
        <x:v>2. Executive Summary</x:v>
      </x:c>
      <x:c r="B7" s="3" t="str">
        <x:v>Counts, coverage, participants, SUS, findings, compatibility, demos</x:v>
      </x:c>
      <x:c r="C7" s="3" t="str">
        <x:v>All evidence tables</x:v>
      </x:c>
      <x:c r="D7" s="3" t="str">
        <x:v>Individual</x:v>
      </x:c>
      <x:c r="E7" s="3" t="str">
        <x:v>BLOCKED</x:v>
      </x:c>
    </x:row>
    <x:row r="8" ht="14.25">
      <x:c r="A8" s="3" t="str">
        <x:v>3. Scope / Exclusions</x:v>
      </x:c>
      <x:c r="B8" s="3" t="str">
        <x:v>C1-C3 rationale; C4 excluded; OS scope</x:v>
      </x:c>
      <x:c r="C8" s="3" t="str">
        <x:v>main_report</x:v>
      </x:c>
      <x:c r="D8" s="3" t="str">
        <x:v>Individual</x:v>
      </x:c>
      <x:c r="E8" s="3" t="str">
        <x:v>BLOCKED</x:v>
      </x:c>
    </x:row>
    <x:row r="9" ht="14.25">
      <x:c r="A9" s="3" t="str">
        <x:v>4. Task 1A Method</x:v>
      </x:c>
      <x:c r="B9" s="3" t="str">
        <x:v>&gt;40 items, IA coverage, origins, sources, prompts, review</x:v>
      </x:c>
      <x:c r="C9" s="3" t="str">
        <x:v>Master Checklist / group files</x:v>
      </x:c>
      <x:c r="D9" s="3" t="str">
        <x:v>Group</x:v>
      </x:c>
      <x:c r="E9" s="3" t="str">
        <x:v>BLOCKED</x:v>
      </x:c>
    </x:row>
    <x:row r="10" ht="14.25">
      <x:c r="A10" s="3" t="str">
        <x:v>5. Task 1B Execution</x:v>
      </x:c>
      <x:c r="B10" s="3" t="str">
        <x:v>Passed/Failed per item/screen; failure evidence</x:v>
      </x:c>
      <x:c r="C10" s="3" t="str">
        <x:v>Execution + screenshots</x:v>
      </x:c>
      <x:c r="D10" s="3" t="str">
        <x:v>Individual</x:v>
      </x:c>
      <x:c r="E10" s="3" t="str">
        <x:v>BLOCKED</x:v>
      </x:c>
    </x:row>
    <x:row r="11" ht="14.25">
      <x:c r="A11" s="3" t="str">
        <x:v>6. Bug Reports</x:v>
      </x:c>
      <x:c r="B11" s="3" t="str">
        <x:v>Steps, expected/actual, severity, screenshot, Form/retest</x:v>
      </x:c>
      <x:c r="C11" s="3" t="str">
        <x:v>Findings Log</x:v>
      </x:c>
      <x:c r="D11" s="3" t="str">
        <x:v>Individual</x:v>
      </x:c>
      <x:c r="E11" s="3" t="str">
        <x:v>BLOCKED</x:v>
      </x:c>
    </x:row>
    <x:row r="12" ht="14.25">
      <x:c r="A12" s="3" t="str">
        <x:v>7. Task 2 Plan/Pilot</x:v>
      </x:c>
      <x:c r="B12" s="3" t="str">
        <x:v>Goal, measures, consent, probes, SUS, pilot changes</x:v>
      </x:c>
      <x:c r="C12" s="3" t="str">
        <x:v>User Testing + pilot notes</x:v>
      </x:c>
      <x:c r="D12" s="3" t="str">
        <x:v>Individual</x:v>
      </x:c>
      <x:c r="E12" s="3" t="str">
        <x:v>BLOCKED</x:v>
      </x:c>
    </x:row>
    <x:row r="13" ht="14.25">
      <x:c r="A13" s="3" t="str">
        <x:v>8. Five Sessions</x:v>
      </x:c>
      <x:c r="B13" s="3" t="str">
        <x:v>P01-P05 masked table, notes, recordings</x:v>
      </x:c>
      <x:c r="C13" s="3" t="str">
        <x:v>Session files</x:v>
      </x:c>
      <x:c r="D13" s="3" t="str">
        <x:v>Individual</x:v>
      </x:c>
      <x:c r="E13" s="3" t="str">
        <x:v>BLOCKED</x:v>
      </x:c>
    </x:row>
    <x:row r="14" ht="14.25">
      <x:c r="A14" s="3" t="str">
        <x:v>9. SUS/Metrics/Findings</x:v>
      </x:c>
      <x:c r="B14" s="3" t="str">
        <x:v>Scoring, aggregates, severity 0-4, recommendations</x:v>
      </x:c>
      <x:c r="C14" s="3" t="str">
        <x:v>SUS + Usability Findings</x:v>
      </x:c>
      <x:c r="D14" s="3" t="str">
        <x:v>Individual</x:v>
      </x:c>
      <x:c r="E14" s="3" t="str">
        <x:v>BLOCKED</x:v>
      </x:c>
    </x:row>
    <x:row r="15" ht="14.25">
      <x:c r="A15" s="3" t="str">
        <x:v>10. Compatibility</x:v>
      </x:c>
      <x:c r="B15" s="3" t="str">
        <x:v>15 cells, coverage proof, Pass/Fail, screenshot/cell</x:v>
      </x:c>
      <x:c r="C15" s="3" t="str">
        <x:v>Compatibility + screenshots</x:v>
      </x:c>
      <x:c r="D15" s="3" t="str">
        <x:v>Individual</x:v>
      </x:c>
      <x:c r="E15" s="3" t="str">
        <x:v>BLOCKED</x:v>
      </x:c>
    </x:row>
    <x:row r="16" ht="14.25">
      <x:c r="A16" s="3" t="str">
        <x:v>11. Consolidated Findings</x:v>
      </x:c>
      <x:c r="B16" s="3" t="str">
        <x:v>Log reconciled with Google Form</x:v>
      </x:c>
      <x:c r="C16" s="3" t="str">
        <x:v>Findings Log + receipts</x:v>
      </x:c>
      <x:c r="D16" s="3" t="str">
        <x:v>Individual</x:v>
      </x:c>
      <x:c r="E16" s="3" t="str">
        <x:v>BLOCKED</x:v>
      </x:c>
    </x:row>
    <x:row r="17" ht="14.25">
      <x:c r="A17" s="3" t="str">
        <x:v>12. Agent Skills</x:v>
      </x:c>
      <x:c r="B17" s="3" t="str">
        <x:v>Purpose, inputs, workflow, safeguards, validation, demos</x:v>
      </x:c>
      <x:c r="C17" s="3" t="str">
        <x:v>agent/</x:v>
      </x:c>
      <x:c r="D17" s="3" t="str">
        <x:v>Individual</x:v>
      </x:c>
      <x:c r="E17" s="3" t="str">
        <x:v>BLOCKED</x:v>
      </x:c>
    </x:row>
    <x:row r="18" ht="14.25">
      <x:c r="A18" s="3" t="str">
        <x:v>13. AI Use/Critique</x:v>
      </x:c>
      <x:c r="B18" s="3" t="str">
        <x:v>Disclosure, audit, human review, 200-300 words</x:v>
      </x:c>
      <x:c r="C18" s="3" t="str">
        <x:v>AI/</x:v>
      </x:c>
      <x:c r="D18" s="3" t="str">
        <x:v>Individual</x:v>
      </x:c>
      <x:c r="E18" s="3" t="str">
        <x:v>BLOCKED</x:v>
      </x:c>
    </x:row>
    <x:row r="19" ht="14.25">
      <x:c r="A19" s="3" t="str">
        <x:v>14. Conclusion/Self-assessment</x:v>
      </x:c>
      <x:c r="B19" s="3" t="str">
        <x:v>Coverage, risks, next actions, rubric 000-100</x:v>
      </x:c>
      <x:c r="C19" s="3" t="str">
        <x:v>main_report + README</x:v>
      </x:c>
      <x:c r="D19" s="3" t="str">
        <x:v>Individual</x:v>
      </x:c>
      <x:c r="E19" s="3" t="str">
        <x:v>BLOCKED</x:v>
      </x:c>
    </x:row>
    <x:row r="20" ht="14.25">
      <x:c r="A20" s="6" t="str">
        <x:v>15. Appendices</x:v>
      </x:c>
      <x:c r="B20" s="6" t="str">
        <x:v>Audit, prompt log, Git log, evidence/demo index</x:v>
      </x:c>
      <x:c r="C20" s="6" t="str">
        <x:v>AI/ + git_commit_log.txt</x:v>
      </x:c>
      <x:c r="D20" s="6" t="str">
        <x:v>Individual</x:v>
      </x:c>
      <x:c r="E20" s="6" t="str">
        <x:v>BLOCKED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conditionalFormatting sqref="E6:E20">
    <x:cfRule type="containsText" dxfId="1" priority="1" operator="containsText" text="Done">
      <x:formula>NOT(ISERROR(SEARCH(("Done"),(E6))))</x:formula>
    </x:cfRule>
    <x:cfRule type="containsText" dxfId="0" priority="2" operator="containsText" text="Blocked">
      <x:formula>NOT(ISERROR(SEARCH(("Blocked"),(E6))))</x:formula>
    </x:cfRule>
  </x:conditionalFormatting>
  <x:dataValidations count="1">
    <x:dataValidation type="list" allowBlank="1" sqref="E6:E20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bc497062b4fb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76" hidden="0" customWidth="1"/>
    <x:col min="4" max="4" width="22" hidden="0" customWidth="1"/>
    <x:col min="5" max="5" width="26" hidden="0" customWidth="1"/>
  </x:cols>
  <x:sheetData>
    <x:row r="1" ht="30" customHeight="1">
      <x:c r="A1" s="62" t="str">
        <x:v>Shared EMS GUI Checklist — Working Draft</x:v>
      </x:c>
      <x:c r="B1" s="62"/>
      <x:c r="C1" s="62"/>
      <x:c r="D1" s="62"/>
      <x:c r="E1" s="62"/>
    </x:row>
    <x:row r="2" ht="34" customHeight="1">
      <x:c r="A2" s="63" t="str">
        <x:v>56 cached AI Draft rows recovered verbatim from the supplied workbook. Human review/additions remain TODO-HUMAN-EVIDENCE.</x:v>
      </x:c>
      <x:c r="B2" s="63"/>
      <x:c r="C2" s="63"/>
      <x:c r="D2" s="63"/>
      <x:c r="E2" s="63"/>
    </x:row>
    <x:row r="3">
      <x:c r="A3" s="64"/>
      <x:c r="B3" s="64"/>
      <x:c r="C3" s="64"/>
      <x:c r="D3" s="64"/>
      <x:c r="E3" s="64"/>
    </x:row>
    <x:row r="4" ht="30" customHeight="1">
      <x:c r="A4" s="65" t="str">
        <x:v>Do not label an AI-proposed change as Human Added. Record every review decision in group/checklist_review_log.md.</x:v>
      </x:c>
      <x:c r="B4" s="65"/>
      <x:c r="C4" s="65"/>
      <x:c r="D4" s="65"/>
      <x:c r="E4" s="65"/>
    </x:row>
    <x:row r="5" ht="24" customHeight="1">
      <x:c r="A5" s="66" t="str">
        <x:v>ID</x:v>
      </x:c>
      <x:c r="B5" s="66" t="str">
        <x:v>IA</x:v>
      </x:c>
      <x:c r="C5" s="66" t="str">
        <x:v>Checklist Item</x:v>
      </x:c>
      <x:c r="D5" s="66" t="str">
        <x:v>Origin</x:v>
      </x:c>
      <x:c r="E5" s="66" t="str">
        <x:v>Human review</x:v>
      </x:c>
    </x:row>
    <x:row r="6" ht="32" customHeight="1">
      <x:c r="A6" s="67" t="str">
        <x:v>IA01-01</x:v>
      </x:c>
      <x:c r="B6" s="67" t="str">
        <x:v>IA-01 General UI</x:v>
      </x:c>
      <x:c r="C6" s="67" t="str">
        <x:v>Layout follows a consistent grid; labels, fields, cards, tables, and actions are aligned with no overlap or clipping.</x:v>
      </x:c>
      <x:c r="D6" s="67" t="str">
        <x:v>AI Draft</x:v>
      </x:c>
      <x:c r="E6" s="67" t="str">
        <x:v>TODO-HUMAN-EVIDENCE</x:v>
      </x:c>
    </x:row>
    <x:row r="7" ht="32" customHeight="1">
      <x:c r="A7" s="67" t="str">
        <x:v>IA01-02</x:v>
      </x:c>
      <x:c r="B7" s="67" t="str">
        <x:v>IA-01 General UI</x:v>
      </x:c>
      <x:c r="C7" s="67" t="str">
        <x:v>The page remains usable on desktop, tablet, and phone without unintended horizontal scrolling or hidden essential actions.</x:v>
      </x:c>
      <x:c r="D7" s="67" t="str">
        <x:v>AI Draft</x:v>
      </x:c>
      <x:c r="E7" s="67" t="str">
        <x:v>TODO-HUMAN-EVIDENCE</x:v>
      </x:c>
    </x:row>
    <x:row r="8" ht="32" customHeight="1">
      <x:c r="A8" s="67" t="str">
        <x:v>IA01-03</x:v>
      </x:c>
      <x:c r="B8" s="67" t="str">
        <x:v>IA-01 General UI</x:v>
      </x:c>
      <x:c r="C8" s="67" t="str">
        <x:v>Typography has a clear hierarchy and consistent fonts, sizes, capitalization, line spacing, and wrapping.</x:v>
      </x:c>
      <x:c r="D8" s="67" t="str">
        <x:v>AI Draft</x:v>
      </x:c>
      <x:c r="E8" s="67" t="str">
        <x:v>TODO-HUMAN-EVIDENCE</x:v>
      </x:c>
    </x:row>
    <x:row r="9" ht="32" customHeight="1">
      <x:c r="A9" s="67" t="str">
        <x:v>IA01-04</x:v>
      </x:c>
      <x:c r="B9" s="67" t="str">
        <x:v>IA-01 General UI</x:v>
      </x:c>
      <x:c r="C9" s="67" t="str">
        <x:v>Text and essential icons have sufficient contrast against their background, including hover, focus, disabled, and selected states.</x:v>
      </x:c>
      <x:c r="D9" s="67" t="str">
        <x:v>AI Draft</x:v>
      </x:c>
      <x:c r="E9" s="67" t="str">
        <x:v>TODO-HUMAN-EVIDENCE</x:v>
      </x:c>
    </x:row>
    <x:row r="10" ht="32" customHeight="1">
      <x:c r="A10" s="67" t="str">
        <x:v>IA01-05</x:v>
      </x:c>
      <x:c r="B10" s="67" t="str">
        <x:v>IA-01 General UI</x:v>
      </x:c>
      <x:c r="C10" s="67" t="str">
        <x:v>Meaning is not communicated by color alone; statuses also use text, icon, pattern, or another cue.</x:v>
      </x:c>
      <x:c r="D10" s="67" t="str">
        <x:v>AI Draft</x:v>
      </x:c>
      <x:c r="E10" s="67" t="str">
        <x:v>TODO-HUMAN-EVIDENCE</x:v>
      </x:c>
    </x:row>
    <x:row r="11" ht="32" customHeight="1">
      <x:c r="A11" s="67" t="str">
        <x:v>IA01-06</x:v>
      </x:c>
      <x:c r="B11" s="67" t="str">
        <x:v>IA-01 General UI</x:v>
      </x:c>
      <x:c r="C11" s="67" t="str">
        <x:v>Images and icons are sharp, use the expected aspect ratio, include useful alternative text, and do not distort.</x:v>
      </x:c>
      <x:c r="D11" s="67" t="str">
        <x:v>AI Draft</x:v>
      </x:c>
      <x:c r="E11" s="67" t="str">
        <x:v>TODO-HUMAN-EVIDENCE</x:v>
      </x:c>
    </x:row>
    <x:row r="12" ht="32" customHeight="1">
      <x:c r="A12" s="67" t="str">
        <x:v>IA01-07</x:v>
      </x:c>
      <x:c r="B12" s="67" t="str">
        <x:v>IA-01 General UI</x:v>
      </x:c>
      <x:c r="C12" s="67" t="str">
        <x:v>Interactive controls visibly distinguish default, hover, keyboard-focus, active, selected, and disabled states.</x:v>
      </x:c>
      <x:c r="D12" s="67" t="str">
        <x:v>AI Draft</x:v>
      </x:c>
      <x:c r="E12" s="67" t="str">
        <x:v>TODO-HUMAN-EVIDENCE</x:v>
      </x:c>
    </x:row>
    <x:row r="13" ht="32" customHeight="1">
      <x:c r="A13" s="67" t="str">
        <x:v>IA01-08</x:v>
      </x:c>
      <x:c r="B13" s="67" t="str">
        <x:v>IA-01 General UI</x:v>
      </x:c>
      <x:c r="C13" s="67" t="str">
        <x:v>English and Vietnamese are complete and consistent across visible text, page titles, validation messages, dialogs, toasts, and manuals.</x:v>
      </x:c>
      <x:c r="D13" s="67" t="str">
        <x:v>AI Draft</x:v>
      </x:c>
      <x:c r="E13" s="67" t="str">
        <x:v>TODO-HUMAN-EVIDENCE</x:v>
      </x:c>
    </x:row>
    <x:row r="14" ht="32" customHeight="1">
      <x:c r="A14" s="67" t="str">
        <x:v>IA01-09</x:v>
      </x:c>
      <x:c r="B14" s="67" t="str">
        <x:v>IA-01 General UI</x:v>
      </x:c>
      <x:c r="C14" s="67" t="str">
        <x:v>Dates, times, time zones, numbers, and percentages use an unambiguous and consistent locale format.</x:v>
      </x:c>
      <x:c r="D14" s="67" t="str">
        <x:v>AI Draft</x:v>
      </x:c>
      <x:c r="E14" s="67" t="str">
        <x:v>TODO-HUMAN-EVIDENCE</x:v>
      </x:c>
    </x:row>
    <x:row r="15" ht="32" customHeight="1">
      <x:c r="A15" s="67" t="str">
        <x:v>IA01-10</x:v>
      </x:c>
      <x:c r="B15" s="67" t="str">
        <x:v>IA-01 General UI</x:v>
      </x:c>
      <x:c r="C15" s="67" t="str">
        <x:v>Loading, empty, no-result, offline/server-error, and access-denied states are visually distinct and preserve layout stability.</x:v>
      </x:c>
      <x:c r="D15" s="67" t="str">
        <x:v>AI Draft</x:v>
      </x:c>
      <x:c r="E15" s="67" t="str">
        <x:v>TODO-HUMAN-EVIDENCE</x:v>
      </x:c>
    </x:row>
    <x:row r="16" ht="32" customHeight="1">
      <x:c r="A16" s="67" t="str">
        <x:v>IA01-11</x:v>
      </x:c>
      <x:c r="B16" s="67" t="str">
        <x:v>IA-01 General UI</x:v>
      </x:c>
      <x:c r="C16" s="67" t="str">
        <x:v>Terms, icons, role names, and status names match the vocabulary and mental model of students, lecturers, guests, and admins.</x:v>
      </x:c>
      <x:c r="D16" s="67" t="str">
        <x:v>AI Draft</x:v>
      </x:c>
      <x:c r="E16" s="67" t="str">
        <x:v>TODO-HUMAN-EVIDENCE</x:v>
      </x:c>
    </x:row>
    <x:row r="17" ht="32" customHeight="1">
      <x:c r="A17" s="67" t="str">
        <x:v>IA01-12</x:v>
      </x:c>
      <x:c r="B17" s="67" t="str">
        <x:v>IA-01 General UI</x:v>
      </x:c>
      <x:c r="C17" s="67" t="str">
        <x:v>Each screen shows only relevant information and actions; obsolete, duplicated, or low-priority content does not compete with the task.</x:v>
      </x:c>
      <x:c r="D17" s="67" t="str">
        <x:v>AI Draft</x:v>
      </x:c>
      <x:c r="E17" s="67" t="str">
        <x:v>TODO-HUMAN-EVIDENCE</x:v>
      </x:c>
    </x:row>
    <x:row r="18" ht="32" customHeight="1">
      <x:c r="A18" s="67" t="str">
        <x:v>IA01-13</x:v>
      </x:c>
      <x:c r="B18" s="67" t="str">
        <x:v>IA-01 General UI</x:v>
      </x:c>
      <x:c r="C18" s="67" t="str">
        <x:v>The browser page title, primary heading, and current route consistently identify the current screen.</x:v>
      </x:c>
      <x:c r="D18" s="67" t="str">
        <x:v>AI Draft</x:v>
      </x:c>
      <x:c r="E18" s="67" t="str">
        <x:v>TODO-HUMAN-EVIDENCE</x:v>
      </x:c>
    </x:row>
    <x:row r="19" ht="32" customHeight="1">
      <x:c r="A19" s="67" t="str">
        <x:v>IA01-14</x:v>
      </x:c>
      <x:c r="B19" s="67" t="str">
        <x:v>IA-01 General UI</x:v>
      </x:c>
      <x:c r="C19" s="67" t="str">
        <x:v>Content remains readable and operable when browser zoom is increased and when long translated text is displayed.</x:v>
      </x:c>
      <x:c r="D19" s="67" t="str">
        <x:v>AI Draft</x:v>
      </x:c>
      <x:c r="E19" s="67" t="str">
        <x:v>TODO-HUMAN-EVIDENCE</x:v>
      </x:c>
    </x:row>
    <x:row r="20" ht="32" customHeight="1">
      <x:c r="A20" s="67" t="str">
        <x:v>IA02-01</x:v>
      </x:c>
      <x:c r="B20" s="67" t="str">
        <x:v>IA-02 Forms</x:v>
      </x:c>
      <x:c r="C20" s="67" t="str">
        <x:v>Every input has a persistent, descriptive, programmatically associated label; placeholder text is not the only label.</x:v>
      </x:c>
      <x:c r="D20" s="67" t="str">
        <x:v>AI Draft</x:v>
      </x:c>
      <x:c r="E20" s="67" t="str">
        <x:v>TODO-HUMAN-EVIDENCE</x:v>
      </x:c>
    </x:row>
    <x:row r="21" ht="32" customHeight="1">
      <x:c r="A21" s="67" t="str">
        <x:v>IA02-02</x:v>
      </x:c>
      <x:c r="B21" s="67" t="str">
        <x:v>IA-02 Forms</x:v>
      </x:c>
      <x:c r="C21" s="67" t="str">
        <x:v>Required fields are clearly marked in text/symbol and exposed programmatically before submission.</x:v>
      </x:c>
      <x:c r="D21" s="67" t="str">
        <x:v>AI Draft</x:v>
      </x:c>
      <x:c r="E21" s="67" t="str">
        <x:v>TODO-HUMAN-EVIDENCE</x:v>
      </x:c>
    </x:row>
    <x:row r="22" ht="32" customHeight="1">
      <x:c r="A22" s="67" t="str">
        <x:v>IA02-03</x:v>
      </x:c>
      <x:c r="B22" s="67" t="str">
        <x:v>IA-02 Forms</x:v>
      </x:c>
      <x:c r="C22" s="67" t="str">
        <x:v>Input format, allowed values, limits, and examples are shown before entry for fields with password rules, max length/slots, date/time patterns, upload types, or numeric ranges.</x:v>
      </x:c>
      <x:c r="D22" s="67" t="str">
        <x:v>AI Draft</x:v>
      </x:c>
      <x:c r="E22" s="67" t="str">
        <x:v>TODO-HUMAN-EVIDENCE</x:v>
      </x:c>
    </x:row>
    <x:row r="23" ht="32" customHeight="1">
      <x:c r="A23" s="67" t="str">
        <x:v>IA02-04</x:v>
      </x:c>
      <x:c r="B23" s="67" t="str">
        <x:v>IA-02 Forms</x:v>
      </x:c>
      <x:c r="C23" s="67" t="str">
        <x:v>Form controls follow a logical keyboard order and each focused field/control has a visible focus indicator.</x:v>
      </x:c>
      <x:c r="D23" s="67" t="str">
        <x:v>AI Draft</x:v>
      </x:c>
      <x:c r="E23" s="67" t="str">
        <x:v>TODO-HUMAN-EVIDENCE</x:v>
      </x:c>
    </x:row>
    <x:row r="24" ht="32" customHeight="1">
      <x:c r="A24" s="67" t="str">
        <x:v>IA02-05</x:v>
      </x:c>
      <x:c r="B24" s="67" t="str">
        <x:v>IA-02 Forms</x:v>
      </x:c>
      <x:c r="C24" s="67" t="str">
        <x:v>Input type, keyboard, autocomplete, masking, and password visibility behavior suit the requested data.</x:v>
      </x:c>
      <x:c r="D24" s="67" t="str">
        <x:v>AI Draft</x:v>
      </x:c>
      <x:c r="E24" s="67" t="str">
        <x:v>TODO-HUMAN-EVIDENCE</x:v>
      </x:c>
    </x:row>
    <x:row r="25" ht="32" customHeight="1">
      <x:c r="A25" s="67" t="str">
        <x:v>IA02-06</x:v>
      </x:c>
      <x:c r="B25" s="67" t="str">
        <x:v>IA-02 Forms</x:v>
      </x:c>
      <x:c r="C25" s="67" t="str">
        <x:v>Validation occurs at an appropriate time and does not interrupt typing or show errors before the user can act.</x:v>
      </x:c>
      <x:c r="D25" s="67" t="str">
        <x:v>AI Draft</x:v>
      </x:c>
      <x:c r="E25" s="67" t="str">
        <x:v>TODO-HUMAN-EVIDENCE</x:v>
      </x:c>
    </x:row>
    <x:row r="26" ht="32" customHeight="1">
      <x:c r="A26" s="67" t="str">
        <x:v>IA02-07</x:v>
      </x:c>
      <x:c r="B26" s="67" t="str">
        <x:v>IA-02 Forms</x:v>
      </x:c>
      <x:c r="C26" s="67" t="str">
        <x:v>Each validation error is specific, written in plain language, placed near the relevant field, and not conveyed by color alone. Mark Pass only if all four conditions hold</x:v>
      </x:c>
      <x:c r="D26" s="67" t="str">
        <x:v>AI Draft</x:v>
      </x:c>
      <x:c r="E26" s="67" t="str">
        <x:v>TODO-HUMAN-EVIDENCE</x:v>
      </x:c>
    </x:row>
    <x:row r="27" ht="32" customHeight="1">
      <x:c r="A27" s="67" t="str">
        <x:v>IA02-08</x:v>
      </x:c>
      <x:c r="B27" s="67" t="str">
        <x:v>IA-02 Forms</x:v>
      </x:c>
      <x:c r="C27" s="67" t="str">
        <x:v>After failed submission, focus moves to a useful error location and the user can identify every invalid field. Mark Pass only if both hold.</x:v>
      </x:c>
      <x:c r="D27" s="67" t="str">
        <x:v>AI Draft</x:v>
      </x:c>
      <x:c r="E27" s="67" t="str">
        <x:v>TODO-HUMAN-EVIDENCE</x:v>
      </x:c>
    </x:row>
    <x:row r="28" ht="32" customHeight="1">
      <x:c r="A28" s="67" t="str">
        <x:v>IA02-09</x:v>
      </x:c>
      <x:c r="B28" s="67" t="str">
        <x:v>IA-02 Forms</x:v>
      </x:c>
      <x:c r="C28" s="67" t="str">
        <x:v>Non-sensitive values remain intact after validation or server errors so the user does not have to re-enter the form.</x:v>
      </x:c>
      <x:c r="D28" s="67" t="str">
        <x:v>AI Draft</x:v>
      </x:c>
      <x:c r="E28" s="67" t="str">
        <x:v>TODO-HUMAN-EVIDENCE</x:v>
      </x:c>
    </x:row>
    <x:row r="29" ht="32" customHeight="1">
      <x:c r="A29" s="67" t="str">
        <x:v>IA02-10</x:v>
      </x:c>
      <x:c r="B29" s="67" t="str">
        <x:v>IA-02 Forms</x:v>
      </x:c>
      <x:c r="C29" s="67" t="str">
        <x:v>Related date/time fields enforce valid ordering and explain conflicts among registration, event, and check-in periods.</x:v>
      </x:c>
      <x:c r="D29" s="67" t="str">
        <x:v>AI Draft</x:v>
      </x:c>
      <x:c r="E29" s="67" t="str">
        <x:v>TODO-HUMAN-EVIDENCE</x:v>
      </x:c>
    </x:row>
    <x:row r="30" ht="32" customHeight="1">
      <x:c r="A30" s="67" t="str">
        <x:v>IA02-11</x:v>
      </x:c>
      <x:c r="B30" s="67" t="str">
        <x:v>IA-02 Forms</x:v>
      </x:c>
      <x:c r="C30" s="67" t="str">
        <x:v>File upload shows allowed type, size, count, and aspect ratio; it provides preview, remove/replace, progress, and failure recovery.</x:v>
      </x:c>
      <x:c r="D30" s="67" t="str">
        <x:v>AI Draft</x:v>
      </x:c>
      <x:c r="E30" s="67" t="str">
        <x:v>TODO-HUMAN-EVIDENCE</x:v>
      </x:c>
    </x:row>
    <x:row r="31" ht="32" customHeight="1">
      <x:c r="A31" s="67" t="str">
        <x:v>IA02-12</x:v>
      </x:c>
      <x:c r="B31" s="67" t="str">
        <x:v>IA-02 Forms</x:v>
      </x:c>
      <x:c r="C31" s="67" t="str">
        <x:v>Rich-text controls have understandable labels, keyboard access, predictable formatting, and a reliable preview/output state.</x:v>
      </x:c>
      <x:c r="D31" s="67" t="str">
        <x:v>AI Draft</x:v>
      </x:c>
      <x:c r="E31" s="67" t="str">
        <x:v>TODO-HUMAN-EVIDENCE</x:v>
      </x:c>
    </x:row>
    <x:row r="32" ht="32" customHeight="1">
      <x:c r="A32" s="67" t="str">
        <x:v>IA02-13</x:v>
      </x:c>
      <x:c r="B32" s="67" t="str">
        <x:v>IA-02 Forms</x:v>
      </x:c>
      <x:c r="C32" s="67" t="str">
        <x:v>Role selectors, toggles, radio buttons, checkboxes, and dependent fields clearly show selection and enforce mutual-exclusion/dependency rules.</x:v>
      </x:c>
      <x:c r="D32" s="67" t="str">
        <x:v>AI Draft</x:v>
      </x:c>
      <x:c r="E32" s="67" t="str">
        <x:v>TODO-HUMAN-EVIDENCE</x:v>
      </x:c>
    </x:row>
    <x:row r="33" ht="32" customHeight="1">
      <x:c r="A33" s="67" t="str">
        <x:v>IA02-14</x:v>
      </x:c>
      <x:c r="B33" s="67" t="str">
        <x:v>IA-02 Forms</x:v>
      </x:c>
      <x:c r="C33" s="67" t="str">
        <x:v>Submit/save/publish controls prevent duplicate submission, show progress, and explain why they are disabled when prerequisites are unmet.</x:v>
      </x:c>
      <x:c r="D33" s="67" t="str">
        <x:v>AI Draft</x:v>
      </x:c>
      <x:c r="E33" s="67" t="str">
        <x:v>TODO-HUMAN-EVIDENCE</x:v>
      </x:c>
    </x:row>
    <x:row r="34" ht="32" customHeight="1">
      <x:c r="A34" s="67" t="str">
        <x:v>IA03-01</x:v>
      </x:c>
      <x:c r="B34" s="67" t="str">
        <x:v>IA-03 Navigation</x:v>
      </x:c>
      <x:c r="C34" s="67" t="str">
        <x:v>Global navigation, header, sidebar, and user menu remain consistent across screens and roles.</x:v>
      </x:c>
      <x:c r="D34" s="67" t="str">
        <x:v>AI Draft</x:v>
      </x:c>
      <x:c r="E34" s="67" t="str">
        <x:v>TODO-HUMAN-EVIDENCE</x:v>
      </x:c>
    </x:row>
    <x:row r="35" ht="32" customHeight="1">
      <x:c r="A35" s="67" t="str">
        <x:v>IA03-02</x:v>
      </x:c>
      <x:c r="B35" s="67" t="str">
        <x:v>IA-03 Navigation</x:v>
      </x:c>
      <x:c r="C35" s="67" t="str">
        <x:v>The current location is clearly indicated through active navigation, heading, breadcrumb, tab, or another visible cue.</x:v>
      </x:c>
      <x:c r="D35" s="67" t="str">
        <x:v>AI Draft</x:v>
      </x:c>
      <x:c r="E35" s="67" t="str">
        <x:v>TODO-HUMAN-EVIDENCE</x:v>
      </x:c>
    </x:row>
    <x:row r="36" ht="32" customHeight="1">
      <x:c r="A36" s="67" t="str">
        <x:v>IA03-03</x:v>
      </x:c>
      <x:c r="B36" s="67" t="str">
        <x:v>IA-03 Navigation</x:v>
      </x:c>
      <x:c r="C36" s="67" t="str">
        <x:v>Links navigate and buttons perform actions; labels accurately predict the destination or action.</x:v>
      </x:c>
      <x:c r="D36" s="67" t="str">
        <x:v>AI Draft</x:v>
      </x:c>
      <x:c r="E36" s="67" t="str">
        <x:v>TODO-HUMAN-EVIDENCE</x:v>
      </x:c>
    </x:row>
    <x:row r="37" ht="32" customHeight="1">
      <x:c r="A37" s="67" t="str">
        <x:v>IA03-04</x:v>
      </x:c>
      <x:c r="B37" s="67" t="str">
        <x:v>IA-03 Navigation</x:v>
      </x:c>
      <x:c r="C37" s="67" t="str">
        <x:v>Back, Cancel, Close, and Return actions lead to a predictable prior context without losing data unexpectedly.</x:v>
      </x:c>
      <x:c r="D37" s="67" t="str">
        <x:v>AI Draft</x:v>
      </x:c>
      <x:c r="E37" s="67" t="str">
        <x:v>TODO-HUMAN-EVIDENCE</x:v>
      </x:c>
    </x:row>
    <x:row r="38" ht="32" customHeight="1">
      <x:c r="A38" s="67" t="str">
        <x:v>IA03-05</x:v>
      </x:c>
      <x:c r="B38" s="67" t="str">
        <x:v>IA-03 Navigation</x:v>
      </x:c>
      <x:c r="C38" s="67" t="str">
        <x:v>Deep links open the intended screen after authentication; invalid, expired, or unauthorized links provide a safe recovery path.</x:v>
      </x:c>
      <x:c r="D38" s="67" t="str">
        <x:v>AI Draft</x:v>
      </x:c>
      <x:c r="E38" s="67" t="str">
        <x:v>TODO-HUMAN-EVIDENCE</x:v>
      </x:c>
    </x:row>
    <x:row r="39" ht="32" customHeight="1">
      <x:c r="A39" s="67" t="str">
        <x:v>IA03-06</x:v>
      </x:c>
      <x:c r="B39" s="67" t="str">
        <x:v>IA-03 Navigation</x:v>
      </x:c>
      <x:c r="C39" s="67" t="str">
        <x:v>Tabs and status filters show the selected state, update the correct content, and preserve a meaningful history/location.</x:v>
      </x:c>
      <x:c r="D39" s="67" t="str">
        <x:v>AI Draft</x:v>
      </x:c>
      <x:c r="E39" s="67" t="str">
        <x:v>TODO-HUMAN-EVIDENCE</x:v>
      </x:c>
    </x:row>
    <x:row r="40" ht="32" customHeight="1">
      <x:c r="A40" s="67" t="str">
        <x:v>IA03-07</x:v>
      </x:c>
      <x:c r="B40" s="67" t="str">
        <x:v>IA-03 Navigation</x:v>
      </x:c>
      <x:c r="C40" s="67" t="str">
        <x:v>Search and filters have clear labels, visible applied state, result count/empty state, Clear action, and predictable persistence.</x:v>
      </x:c>
      <x:c r="D40" s="67" t="str">
        <x:v>AI Draft</x:v>
      </x:c>
      <x:c r="E40" s="67" t="str">
        <x:v>TODO-HUMAN-EVIDENCE</x:v>
      </x:c>
    </x:row>
    <x:row r="41" ht="32" customHeight="1">
      <x:c r="A41" s="67" t="str">
        <x:v>IA03-08</x:v>
      </x:c>
      <x:c r="B41" s="67" t="str">
        <x:v>IA-03 Navigation</x:v>
      </x:c>
      <x:c r="C41" s="67" t="str">
        <x:v>All essential navigation can be completed with keyboard only, with no keyboard trap and a logical focus order.</x:v>
      </x:c>
      <x:c r="D41" s="67" t="str">
        <x:v>AI Draft</x:v>
      </x:c>
      <x:c r="E41" s="67" t="str">
        <x:v>TODO-HUMAN-EVIDENCE</x:v>
      </x:c>
    </x:row>
    <x:row r="42" ht="32" customHeight="1">
      <x:c r="A42" s="67" t="str">
        <x:v>IA03-09</x:v>
      </x:c>
      <x:c r="B42" s="67" t="str">
        <x:v>IA-03 Navigation</x:v>
      </x:c>
      <x:c r="C42" s="67" t="str">
        <x:v>Opening and closing a modal, drawer, menu, or lightbox moves and restores focus to a logical control.</x:v>
      </x:c>
      <x:c r="D42" s="67" t="str">
        <x:v>AI Draft</x:v>
      </x:c>
      <x:c r="E42" s="67" t="str">
        <x:v>TODO-HUMAN-EVIDENCE</x:v>
      </x:c>
    </x:row>
    <x:row r="43" ht="32" customHeight="1">
      <x:c r="A43" s="67" t="str">
        <x:v>IA03-10</x:v>
      </x:c>
      <x:c r="B43" s="67" t="str">
        <x:v>IA-03 Navigation</x:v>
      </x:c>
      <x:c r="C43" s="67" t="str">
        <x:v>Menus and overlays support expected dismissal methods such as Escape, explicit Close/Cancel, and safe outside-click behavior.</x:v>
      </x:c>
      <x:c r="D43" s="67" t="str">
        <x:v>AI Draft</x:v>
      </x:c>
      <x:c r="E43" s="67" t="str">
        <x:v>TODO-HUMAN-EVIDENCE</x:v>
      </x:c>
    </x:row>
    <x:row r="44" ht="32" customHeight="1">
      <x:c r="A44" s="67" t="str">
        <x:v>IA03-11</x:v>
      </x:c>
      <x:c r="B44" s="67" t="str">
        <x:v>IA-03 Navigation</x:v>
      </x:c>
      <x:c r="C44" s="67" t="str">
        <x:v>Drag-and-drop reordering has visible drop feedback, error recovery, and an alternative for users who cannot drag.</x:v>
      </x:c>
      <x:c r="D44" s="67" t="str">
        <x:v>AI Draft</x:v>
      </x:c>
      <x:c r="E44" s="67" t="str">
        <x:v>TODO-HUMAN-EVIDENCE</x:v>
      </x:c>
    </x:row>
    <x:row r="45" ht="32" customHeight="1">
      <x:c r="A45" s="67" t="str">
        <x:v>IA03-12</x:v>
      </x:c>
      <x:c r="B45" s="67" t="str">
        <x:v>IA-03 Navigation</x:v>
      </x:c>
      <x:c r="C45" s="67" t="str">
        <x:v>Pagination or infinite lists preserve filters and return the user to the previous item/scroll context.</x:v>
      </x:c>
      <x:c r="D45" s="67" t="str">
        <x:v>AI Draft</x:v>
      </x:c>
      <x:c r="E45" s="67" t="str">
        <x:v>TODO-HUMAN-EVIDENCE</x:v>
      </x:c>
    </x:row>
    <x:row r="46" ht="32" customHeight="1">
      <x:c r="A46" s="67" t="str">
        <x:v>IA03-13</x:v>
      </x:c>
      <x:c r="B46" s="67" t="str">
        <x:v>IA-03 Navigation</x:v>
      </x:c>
      <x:c r="C46" s="67" t="str">
        <x:v>External links and downloads are identifiable and do not unexpectedly replace an in-progress task.</x:v>
      </x:c>
      <x:c r="D46" s="67" t="str">
        <x:v>AI Draft</x:v>
      </x:c>
      <x:c r="E46" s="67" t="str">
        <x:v>TODO-HUMAN-EVIDENCE</x:v>
      </x:c>
    </x:row>
    <x:row r="47" ht="32" customHeight="1">
      <x:c r="A47" s="67" t="str">
        <x:v>IA03-14</x:v>
      </x:c>
      <x:c r="B47" s="67" t="str">
        <x:v>IA-03 Navigation</x:v>
      </x:c>
      <x:c r="C47" s="67" t="str">
        <x:v>Responsive navigation keeps all essential destinations and actions discoverable without accidental overlap or off-screen menus.</x:v>
      </x:c>
      <x:c r="D47" s="67" t="str">
        <x:v>AI Draft</x:v>
      </x:c>
      <x:c r="E47" s="67" t="str">
        <x:v>TODO-HUMAN-EVIDENCE</x:v>
      </x:c>
    </x:row>
    <x:row r="48" ht="32" customHeight="1">
      <x:c r="A48" s="67" t="str">
        <x:v>IA04-01</x:v>
      </x:c>
      <x:c r="B48" s="67" t="str">
        <x:v>IA-04 Feedback / State</x:v>
      </x:c>
      <x:c r="C48" s="67" t="str">
        <x:v>Every user action receives timely, proportionate, and understandable feedback.</x:v>
      </x:c>
      <x:c r="D48" s="67" t="str">
        <x:v>AI Draft</x:v>
      </x:c>
      <x:c r="E48" s="67" t="str">
        <x:v>TODO-HUMAN-EVIDENCE</x:v>
      </x:c>
    </x:row>
    <x:row r="49" ht="32" customHeight="1">
      <x:c r="A49" s="67" t="str">
        <x:v>IA04-02</x:v>
      </x:c>
      <x:c r="B49" s="67" t="str">
        <x:v>IA-04 Feedback / State</x:v>
      </x:c>
      <x:c r="C49" s="67" t="str">
        <x:v>Asynchronous operations show loading/progress and prevent conflicting actions while keeping the page responsive.</x:v>
      </x:c>
      <x:c r="D49" s="67" t="str">
        <x:v>AI Draft</x:v>
      </x:c>
      <x:c r="E49" s="67" t="str">
        <x:v>TODO-HUMAN-EVIDENCE</x:v>
      </x:c>
    </x:row>
    <x:row r="50" ht="32" customHeight="1">
      <x:c r="A50" s="67" t="str">
        <x:v>IA04-03</x:v>
      </x:c>
      <x:c r="B50" s="67" t="str">
        <x:v>IA-04 Feedback / State</x:v>
      </x:c>
      <x:c r="C50" s="67" t="str">
        <x:v>Success feedback states what changed and what the user can do next.</x:v>
      </x:c>
      <x:c r="D50" s="67" t="str">
        <x:v>AI Draft</x:v>
      </x:c>
      <x:c r="E50" s="67" t="str">
        <x:v>TODO-HUMAN-EVIDENCE</x:v>
      </x:c>
    </x:row>
    <x:row r="51" ht="32" customHeight="1">
      <x:c r="A51" s="67" t="str">
        <x:v>IA04-04</x:v>
      </x:c>
      <x:c r="B51" s="67" t="str">
        <x:v>IA-04 Feedback / State</x:v>
      </x:c>
      <x:c r="C51" s="67" t="str">
        <x:v>Failure feedback explains the problem, preserves useful state, and offers a concrete recovery or retry path.</x:v>
      </x:c>
      <x:c r="D51" s="67" t="str">
        <x:v>AI Draft</x:v>
      </x:c>
      <x:c r="E51" s="67" t="str">
        <x:v>TODO-HUMAN-EVIDENCE</x:v>
      </x:c>
    </x:row>
    <x:row r="52" ht="32" customHeight="1">
      <x:c r="A52" s="67" t="str">
        <x:v>IA04-05</x:v>
      </x:c>
      <x:c r="B52" s="67" t="str">
        <x:v>IA-04 Feedback / State</x:v>
      </x:c>
      <x:c r="C52" s="67" t="str">
        <x:v>Toasts and alerts are readable long enough, dismissible when appropriate, do not cover key controls, and are announced to assistive technology.</x:v>
      </x:c>
      <x:c r="D52" s="67" t="str">
        <x:v>AI Draft</x:v>
      </x:c>
      <x:c r="E52" s="67" t="str">
        <x:v>TODO-HUMAN-EVIDENCE</x:v>
      </x:c>
    </x:row>
    <x:row r="53" ht="32" customHeight="1">
      <x:c r="A53" s="67" t="str">
        <x:v>IA04-06</x:v>
      </x:c>
      <x:c r="B53" s="67" t="str">
        <x:v>IA-04 Feedback / State</x:v>
      </x:c>
      <x:c r="C53" s="67" t="str">
        <x:v>Status badges use consistent wording, color, iconography, and meaning across list, detail, notification, and report views.</x:v>
      </x:c>
      <x:c r="D53" s="67" t="str">
        <x:v>AI Draft</x:v>
      </x:c>
      <x:c r="E53" s="67" t="str">
        <x:v>TODO-HUMAN-EVIDENCE</x:v>
      </x:c>
    </x:row>
    <x:row r="54" ht="32" customHeight="1">
      <x:c r="A54" s="67" t="str">
        <x:v>IA04-07</x:v>
      </x:c>
      <x:c r="B54" s="67" t="str">
        <x:v>IA-04 Feedback / State</x:v>
      </x:c>
      <x:c r="C54" s="67" t="str">
        <x:v>Confirmation dialogs identify the object, consequence, and action; the safe choice is clear and keyboard focus is appropriate.</x:v>
      </x:c>
      <x:c r="D54" s="67" t="str">
        <x:v>AI Draft</x:v>
      </x:c>
      <x:c r="E54" s="67" t="str">
        <x:v>TODO-HUMAN-EVIDENCE</x:v>
      </x:c>
    </x:row>
    <x:row r="55" ht="32" customHeight="1">
      <x:c r="A55" s="67" t="str">
        <x:v>IA04-08</x:v>
      </x:c>
      <x:c r="B55" s="67" t="str">
        <x:v>IA-04 Feedback / State</x:v>
      </x:c>
      <x:c r="C55" s="67" t="str">
        <x:v>Users can cancel, undo, or reverse actions when reversal is technically reasonable.</x:v>
      </x:c>
      <x:c r="D55" s="67" t="str">
        <x:v>AI Draft</x:v>
      </x:c>
      <x:c r="E55" s="67" t="str">
        <x:v>TODO-HUMAN-EVIDENCE</x:v>
      </x:c>
    </x:row>
    <x:row r="56" ht="32" customHeight="1">
      <x:c r="A56" s="67" t="str">
        <x:v>IA04-09</x:v>
      </x:c>
      <x:c r="B56" s="67" t="str">
        <x:v>IA-04 Feedback / State</x:v>
      </x:c>
      <x:c r="C56" s="67" t="str">
        <x:v>Progress indicators are accurate, labeled, and clearly distinguish determinate from indeterminate work.</x:v>
      </x:c>
      <x:c r="D56" s="67" t="str">
        <x:v>AI Draft</x:v>
      </x:c>
      <x:c r="E56" s="67" t="str">
        <x:v>TODO-HUMAN-EVIDENCE</x:v>
      </x:c>
    </x:row>
    <x:row r="57" ht="32" customHeight="1">
      <x:c r="A57" s="67" t="str">
        <x:v>IA04-10</x:v>
      </x:c>
      <x:c r="B57" s="67" t="str">
        <x:v>IA-04 Feedback / State</x:v>
      </x:c>
      <x:c r="C57" s="67" t="str">
        <x:v>Real-time updates do not silently reorder content, overwrite edits, or remove the user's context; meaningful changes are announced.</x:v>
      </x:c>
      <x:c r="D57" s="67" t="str">
        <x:v>AI Draft</x:v>
      </x:c>
      <x:c r="E57" s="67" t="str">
        <x:v>TODO-HUMAN-EVIDENCE</x:v>
      </x:c>
    </x:row>
    <x:row r="58" ht="32" customHeight="1">
      <x:c r="A58" s="67" t="str">
        <x:v>IA04-11</x:v>
      </x:c>
      <x:c r="B58" s="67" t="str">
        <x:v>IA-04 Feedback / State</x:v>
      </x:c>
      <x:c r="C58" s="67" t="str">
        <x:v>Empty and no-result states explain why no content is shown and offer the next useful action.</x:v>
      </x:c>
      <x:c r="D58" s="67" t="str">
        <x:v>AI Draft</x:v>
      </x:c>
      <x:c r="E58" s="67" t="str">
        <x:v>TODO-HUMAN-EVIDENCE</x:v>
      </x:c>
    </x:row>
    <x:row r="59" ht="32" customHeight="1">
      <x:c r="A59" s="67" t="str">
        <x:v>IA04-12</x:v>
      </x:c>
      <x:c r="B59" s="67" t="str">
        <x:v>IA-04 Feedback / State</x:v>
      </x:c>
      <x:c r="C59" s="67" t="str">
        <x:v>Authentication, authorization, and session-expiry feedback clearly distinguish signed-out, forbidden, and server-failure states without exposing sensitive data.</x:v>
      </x:c>
      <x:c r="D59" s="67" t="str">
        <x:v>AI Draft</x:v>
      </x:c>
      <x:c r="E59" s="67" t="str">
        <x:v>TODO-HUMAN-EVIDENCE</x:v>
      </x:c>
    </x:row>
    <x:row r="60" ht="32" customHeight="1">
      <x:c r="A60" s="67" t="str">
        <x:v>IA04-13</x:v>
      </x:c>
      <x:c r="B60" s="67" t="str">
        <x:v>IA-04 Feedback / State</x:v>
      </x:c>
      <x:c r="C60" s="67" t="str">
        <x:v>Disabled controls expose the unmet prerequisite or condition instead of appearing broken.</x:v>
      </x:c>
      <x:c r="D60" s="67" t="str">
        <x:v>AI Draft</x:v>
      </x:c>
      <x:c r="E60" s="67" t="str">
        <x:v>TODO-HUMAN-EVIDENCE</x:v>
      </x:c>
    </x:row>
    <x:row r="61" ht="32" customHeight="1">
      <x:c r="A61" s="67" t="str">
        <x:v>IA04-14</x:v>
      </x:c>
      <x:c r="B61" s="67" t="str">
        <x:v>IA-04 Feedback / State</x:v>
      </x:c>
      <x:c r="C61" s="67" t="str">
        <x:v>Repeated clicks, refreshes, retries, or network reconnection do not create duplicate records or conflicting visible states.</x:v>
      </x:c>
      <x:c r="D61" s="67" t="str">
        <x:v>AI Draft</x:v>
      </x:c>
      <x:c r="E61" s="67" t="str">
        <x:v>TODO-HUMAN-EVIDENCE</x:v>
      </x:c>
    </x:row>
  </x:sheetData>
  <x:mergeCells>
    <x:mergeCell ref="A1:E1"/>
    <x:mergeCell ref="A2:E2"/>
    <x:mergeCell ref="A4:E4"/>
  </x:mergeCells>
  <x:pageMargins left="0.7" right="0.7" top="0.75" bottom="0.75" header="0.3" footer="0.3"/>
  <x:tableParts count="1">
    <x:tablePart xmlns:r="http://schemas.openxmlformats.org/officeDocument/2006/relationships" r:id="Rfa500742105b49ea"/>
  </x:tableParts>
</x:worksheet>
</file>