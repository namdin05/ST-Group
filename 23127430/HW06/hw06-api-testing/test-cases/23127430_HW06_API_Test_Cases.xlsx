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e4c17feac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56941fcdd84db8"/>
    <x:sheet xmlns:r="http://schemas.openxmlformats.org/officeDocument/2006/relationships" name="FR01_Registration" sheetId="2" r:id="R8a6b3b4251604367"/>
    <x:sheet xmlns:r="http://schemas.openxmlformats.org/officeDocument/2006/relationships" name="FR07_ShoppingCart" sheetId="3" r:id="R1054b6b0d6074a83"/>
    <x:sheet xmlns:r="http://schemas.openxmlformats.org/officeDocument/2006/relationships" name="FR13_Dashboard" sheetId="4" r:id="Rba4f0519cbd6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10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b/>
      <x:sz val="11"/>
      <x:color rgb="FFFFFFFF"/>
      <x:name val="Carlito"/>
    </x:font>
    <x:font>
      <x:b/>
      <x:sz val="9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8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  <x:bottom style="thin">
        <x:color rgb="FFC9D2DC"/>
      </x:bottom>
    </x:border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5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vertical="center"/>
    </x:xf>
    <x:xf numFmtId="200" fontId="6" fillId="5" borderId="5" xfId="0" applyNumberFormat="1" applyFont="1" applyFill="1" applyBorder="1" applyAlignment="1">
      <x:alignment vertical="center"/>
    </x:xf>
    <x:xf numFmtId="200" fontId="6" fillId="5" borderId="6" xfId="0" applyNumberFormat="1" applyFont="1" applyFill="1" applyBorder="1" applyAlignment="1">
      <x:alignment vertical="center"/>
    </x:xf>
    <x:xf numFmtId="200" fontId="7" fillId="6" borderId="7" xfId="0" applyNumberFormat="1" applyFont="1" applyFill="1" applyBorder="1" applyAlignment="1">
      <x:alignment vertical="center"/>
    </x:xf>
    <x:xf numFmtId="200" fontId="6" fillId="5" borderId="5" xfId="0" applyNumberFormat="1" applyFont="1" applyFill="1" applyBorder="1" applyAlignment="1">
      <x:alignment horizontal="center" vertical="center"/>
    </x:xf>
    <x:xf numFmtId="200" fontId="6" fillId="5" borderId="6" xfId="0" applyNumberFormat="1" applyFont="1" applyFill="1" applyBorder="1" applyAlignment="1">
      <x:alignment horizontal="center" vertical="center"/>
    </x:xf>
    <x:xf numFmtId="200" fontId="7" fillId="6" borderId="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000000"/>
      </x:font>
      <x:fill>
        <x:patternFill>
          <x:bgColor rgb="FFE2F0D9"/>
        </x:patternFill>
      </x:fill>
    </x:dxf>
    <x:dxf>
      <x:font>
        <x:b/>
        <x:color rgb="FF00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FFF2CC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E7E6E6"/>
        </x:patternFill>
      </x:fill>
    </x:dxf>
    <x:dxf>
      <x:font>
        <x:b/>
        <x:color rgb="FF000000"/>
      </x:font>
      <x:fill>
        <x:patternFill>
          <x:bgColor rgb="FFE2F0D9"/>
        </x:patternFill>
      </x:fill>
    </x:dxf>
    <x:dxf>
      <x:font>
        <x:b/>
        <x:color rgb="FF00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FFF2CC"/>
        </x:patternFill>
      </x:fill>
    </x:dxf>
    <x:dxf>
      <x:font>
        <x:b/>
        <x:color rgb="FF000000"/>
      </x:font>
      <x:fill>
        <x:patternFill>
          <x:bgColor rgb="FFE2F0D9"/>
        </x:patternFill>
      </x:fill>
    </x:dxf>
    <x:dxf>
      <x:font>
        <x:b/>
        <x:color rgb="FF00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FFF2CC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E7E6E6"/>
        </x:patternFill>
      </x:fill>
    </x:dxf>
    <x:dxf>
      <x:font>
        <x:b/>
        <x:color rgb="FF000000"/>
      </x:font>
      <x:fill>
        <x:patternFill>
          <x:bgColor rgb="FFE2F0D9"/>
        </x:patternFill>
      </x:fill>
    </x:dxf>
    <x:dxf>
      <x:font>
        <x:b/>
        <x:color rgb="FF00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FFF2CC"/>
        </x:patternFill>
      </x:fill>
    </x:dxf>
    <x:dxf>
      <x:font>
        <x:b/>
        <x:color rgb="FF000000"/>
      </x:font>
      <x:fill>
        <x:patternFill>
          <x:bgColor rgb="FFE2F0D9"/>
        </x:patternFill>
      </x:fill>
    </x:dxf>
    <x:dxf>
      <x:font>
        <x:b/>
        <x:color rgb="FF00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FFF2CC"/>
        </x:patternFill>
      </x:fill>
    </x:dxf>
    <x:dxf>
      <x:font>
        <x:b/>
        <x:color rgb="FF000000"/>
      </x:font>
      <x:fill>
        <x:patternFill>
          <x:bgColor rgb="FFD9EAF7"/>
        </x:patternFill>
      </x:fill>
    </x:dxf>
    <x:dxf>
      <x:font>
        <x:b/>
        <x:color rgb="FF000000"/>
      </x:font>
      <x:fill>
        <x:patternFill>
          <x:bgColor rgb="FFE7E6E6"/>
        </x:patternFill>
      </x:fill>
    </x:dxf>
    <x:dxf>
      <x:font>
        <x:b/>
        <x:color rgb="FF000000"/>
      </x:font>
      <x:fill>
        <x:patternFill>
          <x:bgColor rgb="FFE2F0D9"/>
        </x:patternFill>
      </x:fill>
    </x:dxf>
    <x:dxf>
      <x:font>
        <x:b/>
        <x:color rgb="FF000000"/>
      </x:font>
      <x:fill>
        <x:patternFill>
          <x:bgColor rgb="FFFCE4D6"/>
        </x:patternFill>
      </x:fill>
    </x:dxf>
    <x:dxf>
      <x:font>
        <x:b/>
        <x:color rgb="FF000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97cc1c10a4521" /><Relationship Type="http://schemas.openxmlformats.org/officeDocument/2006/relationships/theme" Target="/xl/theme/theme1.xml" Id="R6962c425d8344d25" /><Relationship Type="http://schemas.openxmlformats.org/officeDocument/2006/relationships/sharedStrings" Target="/xl/sharedStrings.xml" Id="R628d74d4620c4dc8" /><Relationship Type="http://schemas.openxmlformats.org/officeDocument/2006/relationships/worksheet" Target="/xl/worksheets/sheet1.xml" Id="R2156941fcdd84db8" /><Relationship Type="http://schemas.openxmlformats.org/officeDocument/2006/relationships/worksheet" Target="/xl/worksheets/sheet2.xml" Id="R8a6b3b4251604367" /><Relationship Type="http://schemas.openxmlformats.org/officeDocument/2006/relationships/worksheet" Target="/xl/worksheets/sheet3.xml" Id="R1054b6b0d6074a83" /><Relationship Type="http://schemas.openxmlformats.org/officeDocument/2006/relationships/worksheet" Target="/xl/worksheets/sheet4.xml" Id="Rba4f0519cbd6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4" t="str">
        <x:v>HW06 API Test Case Workbook Summary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26" t="str">
        <x:v>Student: Đinh Hoàng Nam | Student ID: 23127430 | SUT: EShop | FR-01: 40 AI cases | FR-07: 43 AI cases | FR-13: 48 AI cases | Execution not started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4" customHeight="1">
      <x:c r="A4" s="14" t="str">
        <x:v>Feature ID</x:v>
      </x:c>
      <x:c r="B4" s="14" t="str">
        <x:v>Test Case Sheet</x:v>
      </x:c>
      <x:c r="C4" s="14" t="str">
        <x:v>AI-generated</x:v>
      </x:c>
      <x:c r="D4" s="14" t="str">
        <x:v>Human-added</x:v>
      </x:c>
      <x:c r="E4" s="14" t="str">
        <x:v>Total</x:v>
      </x:c>
      <x:c r="F4" s="14" t="str">
        <x:v>Executed</x:v>
      </x:c>
      <x:c r="G4" s="14" t="str">
        <x:v>Passed</x:v>
      </x:c>
      <x:c r="H4" s="14" t="str">
        <x:v>Failed</x:v>
      </x:c>
      <x:c r="I4" s="14" t="str">
        <x:v>Blocked</x:v>
      </x:c>
      <x:c r="J4" s="14" t="str">
        <x:v>Unique bugs</x:v>
      </x:c>
    </x:row>
    <x:row r="5">
      <x:c r="A5" s="31" t="str">
        <x:v>FR-01</x:v>
      </x:c>
      <x:c r="B5" s="31" t="str">
        <x:v>FR01_Registration</x:v>
      </x:c>
      <x:c r="C5" s="40" t="n">
        <x:f>COUNTIF('FR01_Registration'!$D$5:$D$204,"AI")</x:f>
        <x:v>40</x:v>
      </x:c>
      <x:c r="D5" s="40" t="n">
        <x:f>COUNTIF('FR01_Registration'!$D$5:$D$204,"HUMAN")</x:f>
        <x:v>0</x:v>
      </x:c>
      <x:c r="E5" s="40" t="n">
        <x:f>COUNTA('FR01_Registration'!$A$5:$A$204)</x:f>
        <x:v>40</x:v>
      </x:c>
      <x:c r="F5" s="40" t="n">
        <x:f>COUNTIF('FR01_Registration'!$S$5:$S$204,"PASS")+COUNTIF('FR01_Registration'!$S$5:$S$204,"FAIL")+COUNTIF('FR01_Registration'!$S$5:$S$204,"BLOCKED")</x:f>
        <x:v>0</x:v>
      </x:c>
      <x:c r="G5" s="40" t="n">
        <x:f>COUNTIF('FR01_Registration'!$S$5:$S$204,"PASS")</x:f>
        <x:v>0</x:v>
      </x:c>
      <x:c r="H5" s="40" t="n">
        <x:f>COUNTIF('FR01_Registration'!$S$5:$S$204,"FAIL")</x:f>
        <x:v>0</x:v>
      </x:c>
      <x:c r="I5" s="40" t="n">
        <x:f>COUNTIF('FR01_Registration'!$S$5:$S$204,"BLOCKED")</x:f>
        <x:v>0</x:v>
      </x:c>
      <x:c r="J5" s="40" t="n">
        <x:f>IF(COUNTA('FR01_Registration'!$T$5:$T$204)=0,0,IFERROR(SUMPRODUCT(('FR01_Registration'!$T$5:$T$204&lt;&gt;"")/COUNTIF('FR01_Registration'!$T$5:$T$204,'FR01_Registration'!$T$5:$T$204&amp;"")),0))</x:f>
        <x:v>0</x:v>
      </x:c>
    </x:row>
    <x:row r="6">
      <x:c r="A6" s="32" t="str">
        <x:v>FR-07</x:v>
      </x:c>
      <x:c r="B6" s="32" t="str">
        <x:v>FR07_ShoppingCart</x:v>
      </x:c>
      <x:c r="C6" s="41" t="n">
        <x:f>COUNTIF('FR07_ShoppingCart'!$D$5:$D$204,"AI")</x:f>
        <x:v>43</x:v>
      </x:c>
      <x:c r="D6" s="41" t="n">
        <x:f>COUNTIF('FR07_ShoppingCart'!$D$5:$D$204,"HUMAN")</x:f>
        <x:v>0</x:v>
      </x:c>
      <x:c r="E6" s="41" t="n">
        <x:f>COUNTA('FR07_ShoppingCart'!$A$5:$A$204)</x:f>
        <x:v>43</x:v>
      </x:c>
      <x:c r="F6" s="41" t="n">
        <x:f>COUNTIF('FR07_ShoppingCart'!$S$5:$S$204,"PASS")+COUNTIF('FR07_ShoppingCart'!$S$5:$S$204,"FAIL")+COUNTIF('FR07_ShoppingCart'!$S$5:$S$204,"BLOCKED")</x:f>
        <x:v>0</x:v>
      </x:c>
      <x:c r="G6" s="41" t="n">
        <x:f>COUNTIF('FR07_ShoppingCart'!$S$5:$S$204,"PASS")</x:f>
        <x:v>0</x:v>
      </x:c>
      <x:c r="H6" s="41" t="n">
        <x:f>COUNTIF('FR07_ShoppingCart'!$S$5:$S$204,"FAIL")</x:f>
        <x:v>0</x:v>
      </x:c>
      <x:c r="I6" s="41" t="n">
        <x:f>COUNTIF('FR07_ShoppingCart'!$S$5:$S$204,"BLOCKED")</x:f>
        <x:v>0</x:v>
      </x:c>
      <x:c r="J6" s="41" t="n">
        <x:f>IF(COUNTA('FR07_ShoppingCart'!$T$5:$T$204)=0,0,IFERROR(SUMPRODUCT(('FR07_ShoppingCart'!$T$5:$T$204&lt;&gt;"")/COUNTIF('FR07_ShoppingCart'!$T$5:$T$204,'FR07_ShoppingCart'!$T$5:$T$204&amp;"")),0))</x:f>
        <x:v>0</x:v>
      </x:c>
    </x:row>
    <x:row r="7">
      <x:c r="A7" s="32" t="str">
        <x:v>FR-13</x:v>
      </x:c>
      <x:c r="B7" s="32" t="str">
        <x:v>FR13_Dashboard</x:v>
      </x:c>
      <x:c r="C7" s="41" t="n">
        <x:f>COUNTIF('FR13_Dashboard'!$D$5:$D$204,"AI")</x:f>
        <x:v>48</x:v>
      </x:c>
      <x:c r="D7" s="41" t="n">
        <x:f>COUNTIF('FR13_Dashboard'!$D$5:$D$204,"HUMAN")</x:f>
        <x:v>0</x:v>
      </x:c>
      <x:c r="E7" s="41" t="n">
        <x:f>COUNTA('FR13_Dashboard'!$A$5:$A$204)</x:f>
        <x:v>48</x:v>
      </x:c>
      <x:c r="F7" s="41" t="n">
        <x:f>COUNTIF('FR13_Dashboard'!$S$5:$S$204,"PASS")+COUNTIF('FR13_Dashboard'!$S$5:$S$204,"FAIL")+COUNTIF('FR13_Dashboard'!$S$5:$S$204,"BLOCKED")</x:f>
        <x:v>0</x:v>
      </x:c>
      <x:c r="G7" s="41" t="n">
        <x:f>COUNTIF('FR13_Dashboard'!$S$5:$S$204,"PASS")</x:f>
        <x:v>0</x:v>
      </x:c>
      <x:c r="H7" s="41" t="n">
        <x:f>COUNTIF('FR13_Dashboard'!$S$5:$S$204,"FAIL")</x:f>
        <x:v>0</x:v>
      </x:c>
      <x:c r="I7" s="41" t="n">
        <x:f>COUNTIF('FR13_Dashboard'!$S$5:$S$204,"BLOCKED")</x:f>
        <x:v>0</x:v>
      </x:c>
      <x:c r="J7" s="41" t="n">
        <x:f>IF(COUNTA('FR13_Dashboard'!$T$5:$T$204)=0,0,IFERROR(SUMPRODUCT(('FR13_Dashboard'!$T$5:$T$204&lt;&gt;"")/COUNTIF('FR13_Dashboard'!$T$5:$T$204,'FR13_Dashboard'!$T$5:$T$204&amp;"")),0))</x:f>
        <x:v>0</x:v>
      </x:c>
    </x:row>
    <x:row r="8">
      <x:c r="A8" s="36" t="str">
        <x:v>All selected features</x:v>
      </x:c>
      <x:c r="B8" s="36"/>
      <x:c r="C8" s="42" t="n">
        <x:f>SUM(C5:C7)</x:f>
        <x:v>131</x:v>
      </x:c>
      <x:c r="D8" s="42" t="n">
        <x:f>SUM(D5:D7)</x:f>
        <x:v>0</x:v>
      </x:c>
      <x:c r="E8" s="42" t="n">
        <x:f>SUM(E5:E7)</x:f>
        <x:v>131</x:v>
      </x:c>
      <x:c r="F8" s="42" t="n">
        <x:f>SUM(F5:F7)</x:f>
        <x:v>0</x:v>
      </x:c>
      <x:c r="G8" s="42" t="n">
        <x:f>SUM(G5:G7)</x:f>
        <x:v>0</x:v>
      </x:c>
      <x:c r="H8" s="42" t="n">
        <x:f>SUM(H5:H7)</x:f>
        <x:v>0</x:v>
      </x:c>
      <x:c r="I8" s="42" t="n">
        <x:f>SUM(I5:I7)</x:f>
        <x:v>0</x:v>
      </x:c>
      <x:c r="J8" s="42" t="n">
        <x:f>SUM(J5:J7)</x:f>
        <x:v>0</x:v>
      </x:c>
    </x:row>
    <x:row r="10">
      <x:c r="A10" s="44" t="str">
        <x:v>Data-entry validation rules</x:v>
      </x:c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>
      <x:c r="A11" s="50" t="str">
        <x:v>Source</x:v>
      </x:c>
      <x:c r="B11" s="48" t="str">
        <x:v>AI, HUMAN</x:v>
      </x:c>
    </x:row>
    <x:row r="12">
      <x:c r="A12" s="50" t="str">
        <x:v>Coverage Type</x:v>
      </x:c>
      <x:c r="B12" s="48" t="str">
        <x:v>Domain, State, Security, Schema</x:v>
      </x:c>
    </x:row>
    <x:row r="13">
      <x:c r="A13" s="50" t="str">
        <x:v>AI Verdict</x:v>
      </x:c>
      <x:c r="B13" s="48" t="str">
        <x:v>VALID, INVALID, INCOMPLETE, TO DO HUMAN</x:v>
      </x:c>
    </x:row>
    <x:row r="14">
      <x:c r="A14" s="50" t="str">
        <x:v>Execution Status</x:v>
      </x:c>
      <x:c r="B14" s="48" t="str">
        <x:v>NOT RUN, PASS, FAIL, BLOCKED</x:v>
      </x:c>
    </x:row>
  </x:sheetData>
  <x:mergeCells>
    <x:mergeCell ref="A1:J1"/>
    <x:mergeCell ref="A2:J2"/>
    <x:mergeCell ref="A8:B8"/>
    <x:mergeCell ref="A10:J10"/>
    <x:mergeCell ref="B11:J11"/>
    <x:mergeCell ref="B12:J12"/>
    <x:mergeCell ref="B13:J13"/>
    <x:mergeCell ref="B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1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  <x:col min="9" max="9" width="32" hidden="0" customWidth="1"/>
    <x:col min="10" max="10" width="16" hidden="0" customWidth="1"/>
    <x:col min="11" max="11" width="32" hidden="0" customWidth="1"/>
    <x:col min="12" max="12" width="30" hidden="0" customWidth="1"/>
    <x:col min="13" max="13" width="16" hidden="0" customWidth="1"/>
    <x:col min="14" max="14" width="28" hidden="0" customWidth="1"/>
    <x:col min="15" max="15" width="28" hidden="0" customWidth="1"/>
    <x:col min="16" max="16" width="32" hidden="0" customWidth="1"/>
    <x:col min="17" max="17" width="24" hidden="0" customWidth="1"/>
    <x:col min="18" max="18" width="26" hidden="0" customWidth="1"/>
    <x:col min="19" max="19" width="18" hidden="0" customWidth="1"/>
    <x:col min="20" max="20" width="12" hidden="0" customWidth="1"/>
    <x:col min="21" max="21" width="24" hidden="0" customWidth="1"/>
  </x:cols>
  <x:sheetData>
    <x:row r="1" ht="30" customHeight="1">
      <x:c r="A1" s="4" t="str">
        <x:v>FR-01 API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4" customHeight="1">
      <x:c r="A2" s="8" t="str">
        <x:v>40 AI-generated registration API test cases | Human audit pending | No execution results recorded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42" customHeight="1">
      <x:c r="A4" s="14" t="str">
        <x:v>Test Case ID</x:v>
      </x:c>
      <x:c r="B4" s="14" t="str">
        <x:v>Feature ID</x:v>
      </x:c>
      <x:c r="C4" s="14" t="str">
        <x:v>Target Endpoint</x:v>
      </x:c>
      <x:c r="D4" s="14" t="str">
        <x:v>Source</x:v>
      </x:c>
      <x:c r="E4" s="14" t="str">
        <x:v>Coverage Type</x:v>
      </x:c>
      <x:c r="F4" s="14" t="str">
        <x:v>Test Objective</x:v>
      </x:c>
      <x:c r="G4" s="14" t="str">
        <x:v>Preconditions</x:v>
      </x:c>
      <x:c r="H4" s="14" t="str">
        <x:v>Test Data</x:v>
      </x:c>
      <x:c r="I4" s="14" t="str">
        <x:v>Test Steps</x:v>
      </x:c>
      <x:c r="J4" s="14" t="str">
        <x:v>Expected HTTP Status</x:v>
      </x:c>
      <x:c r="K4" s="14" t="str">
        <x:v>Expected Response</x:v>
      </x:c>
      <x:c r="L4" s="14" t="str">
        <x:v>Expected Schema</x:v>
      </x:c>
      <x:c r="M4" s="14" t="str">
        <x:v>AI Verdict</x:v>
      </x:c>
      <x:c r="N4" s="14" t="str">
        <x:v>Audit Reason</x:v>
      </x:c>
      <x:c r="O4" s="14" t="str">
        <x:v>Student Fix</x:v>
      </x:c>
      <x:c r="P4" s="14" t="str">
        <x:v>Corrected Test Case</x:v>
      </x:c>
      <x:c r="Q4" s="14" t="str">
        <x:v>Postman Request Name</x:v>
      </x:c>
      <x:c r="R4" s="14" t="str">
        <x:v>Actual Result</x:v>
      </x:c>
      <x:c r="S4" s="14" t="str">
        <x:v>Execution Status</x:v>
      </x:c>
      <x:c r="T4" s="14" t="str">
        <x:v>Bug ID</x:v>
      </x:c>
      <x:c r="U4" s="14" t="str">
        <x:v>Notes</x:v>
      </x:c>
    </x:row>
    <x:row r="5" ht="96" customHeight="1">
      <x:c r="A5" s="51" t="str">
        <x:v>FR01-API-TC001</x:v>
      </x:c>
      <x:c r="B5" s="22" t="str">
        <x:v>FR-01</x:v>
      </x:c>
      <x:c r="C5" s="22" t="str">
        <x:v>POST /api/register</x:v>
      </x:c>
      <x:c r="D5" s="22" t="str">
        <x:v>AI</x:v>
      </x:c>
      <x:c r="E5" s="53" t="str">
        <x:v>Domain</x:v>
      </x:c>
      <x:c r="F5" s="22" t="str">
        <x:v>Register with a typical valid name, unique email, and compliant password</x:v>
      </x:c>
      <x:c r="G5" s="22" t="str">
        <x:v>Backend is available; generated email does not exist; database can be inspected or login can verify state.</x:v>
      </x:c>
      <x:c r="H5" s="22" t="str">
        <x:v>{"name":"Đinh Hoàng Nam","email":"fr01.tc001@example.test","password":"Valid1@a"}</x:v>
      </x:c>
      <x:c r="I5" s="22" t="str">
        <x:v>1. Set base URL to http://127.0.0.1:3000.
2. Send POST /api/register with Content-Type: application/json.
3. Use body: {"name":"Đinh Hoàng Nam","email":"fr01.tc001@example.test","password":"Valid1@a"}.
4. Capture status, response headers, and JSON body.</x:v>
      </x:c>
      <x:c r="J5" s="22" t="str">
        <x:v>200</x:v>
      </x:c>
      <x:c r="K5" s="22" t="str">
        <x:v>JSON object reporting successful registration; message must equal "User registered successfully"; id is generated and must not be assumed to equal the example value 1.</x:v>
      </x:c>
      <x:c r="L5" s="22" t="str">
        <x:v>Documented example object: {"message":"User registered successfully","id":&lt;generated&gt;}. Formal required-property list, id type, optional properties, and additionalProperties policy are SPECIFICATION GAP.</x:v>
      </x:c>
      <x:c r="M5" s="22" t="str">
        <x:v>TO DO HUMAN</x:v>
      </x:c>
      <x:c r="N5" s="22" t="str">
        <x:v>Pending human audit. Confirm matrix traceability and approve every SPECIFICATION GAP oracle before execution.</x:v>
      </x:c>
      <x:c r="O5" s="22" t="str"/>
      <x:c r="P5" s="22" t="str"/>
      <x:c r="Q5" s="22" t="str">
        <x:v>FR01-API-TC001 | Register with a typical valid name, unique email, and compliant password</x:v>
      </x:c>
      <x:c r="R5" s="22" t="str"/>
      <x:c r="S5" s="22" t="str">
        <x:v>NOT RUN</x:v>
      </x:c>
      <x:c r="T5" s="22" t="str"/>
      <x:c r="U5" s="22" t="str">
        <x:v>Trace: Domain Matrix—valid name/email/password partitions; Contract Matrix—documented success example.</x:v>
      </x:c>
    </x:row>
    <x:row r="6" ht="96" customHeight="1">
      <x:c r="A6" s="52" t="str">
        <x:v>FR01-API-TC002</x:v>
      </x:c>
      <x:c r="B6" s="23" t="str">
        <x:v>FR-01</x:v>
      </x:c>
      <x:c r="C6" s="23" t="str">
        <x:v>POST /api/register</x:v>
      </x:c>
      <x:c r="D6" s="23" t="str">
        <x:v>AI</x:v>
      </x:c>
      <x:c r="E6" s="54" t="str">
        <x:v>Domain</x:v>
      </x:c>
      <x:c r="F6" s="23" t="str">
        <x:v>Accept a password at the documented minimum length of exactly 8 characters</x:v>
      </x:c>
      <x:c r="G6" s="23" t="str">
        <x:v>Backend is available; generated email does not exist.</x:v>
      </x:c>
      <x:c r="H6" s="23" t="str">
        <x:v>{"name":"Đinh Hoàng Nam","email":"fr01.tc002@example.test","password":"Aa1@aaaa"}</x:v>
      </x:c>
      <x:c r="I6" s="23" t="str">
        <x:v>1. Set base URL to http://127.0.0.1:3000.
2. Send POST /api/register with Content-Type: application/json.
3. Use body: {"name":"Đinh Hoàng Nam","email":"fr01.tc002@example.test","password":"Aa1@aaaa"}.
4. Capture status, response headers, and JSON body.</x:v>
      </x:c>
      <x:c r="J6" s="23" t="str">
        <x:v>200</x:v>
      </x:c>
      <x:c r="K6" s="23" t="str">
        <x:v>JSON object reporting successful registration; message must equal "User registered successfully"; id is generated and must not be assumed to equal the example value 1.</x:v>
      </x:c>
      <x:c r="L6" s="23" t="str">
        <x:v>Documented example object: {"message":"User registered successfully","id":&lt;generated&gt;}. Formal required-property list, id type, optional properties, and additionalProperties policy are SPECIFICATION GAP.</x:v>
      </x:c>
      <x:c r="M6" s="23" t="str">
        <x:v>TO DO HUMAN</x:v>
      </x:c>
      <x:c r="N6" s="23" t="str">
        <x:v>Pending human audit. Confirm matrix traceability and approve every SPECIFICATION GAP oracle before execution.</x:v>
      </x:c>
      <x:c r="O6" s="23" t="str"/>
      <x:c r="P6" s="23" t="str"/>
      <x:c r="Q6" s="23" t="str">
        <x:v>FR01-API-TC002 | Accept a password at the documented minimum length of exactly 8 characters</x:v>
      </x:c>
      <x:c r="R6" s="23" t="str"/>
      <x:c r="S6" s="23" t="str">
        <x:v>NOT RUN</x:v>
      </x:c>
      <x:c r="T6" s="23" t="str"/>
      <x:c r="U6" s="23" t="str">
        <x:v>Trace: Domain Matrix—password minimum boundary 8; required upper/lower/digit/listed special.</x:v>
      </x:c>
    </x:row>
    <x:row r="7" ht="96" customHeight="1">
      <x:c r="A7" s="52" t="str">
        <x:v>FR01-API-TC003</x:v>
      </x:c>
      <x:c r="B7" s="23" t="str">
        <x:v>FR-01</x:v>
      </x:c>
      <x:c r="C7" s="23" t="str">
        <x:v>POST /api/register</x:v>
      </x:c>
      <x:c r="D7" s="23" t="str">
        <x:v>AI</x:v>
      </x:c>
      <x:c r="E7" s="54" t="str">
        <x:v>Domain</x:v>
      </x:c>
      <x:c r="F7" s="23" t="str">
        <x:v>Reject a password one character below the documented minimum</x:v>
      </x:c>
      <x:c r="G7" s="23" t="str">
        <x:v>Backend is available; generated email does not exist.</x:v>
      </x:c>
      <x:c r="H7" s="23" t="str">
        <x:v>{"name":"Đinh Hoàng Nam","email":"fr01.tc003@example.test","password":"Aa1@aaa"}</x:v>
      </x:c>
      <x:c r="I7" s="23" t="str">
        <x:v>1. Set base URL to http://127.0.0.1:3000.
2. Send POST /api/register with Content-Type: application/json.
3. Use body: {"name":"Đinh Hoàng Nam","email":"fr01.tc003@example.test","password":"Aa1@aaa"}.
4. Capture status, response headers, and JSON body.
5. Verify the email remains absent using login failure or database inspection.</x:v>
      </x:c>
      <x:c r="J7" s="23" t="str">
        <x:v>SPECIFICATION GAP — HUMAN DECISION REQUIRED: invalid-request HTTP status is not defined.</x:v>
      </x:c>
      <x:c r="K7" s="23" t="str">
        <x:v>SPECIFICATION GAP — HUMAN DECISION REQUIRED: reject the request without creating/changing an account; exact error body is not defined.</x:v>
      </x:c>
      <x:c r="L7" s="23" t="str">
        <x:v>SPECIFICATION GAP — HUMAN DECISION REQUIRED: error response properties, types, and additionalProperties policy are not defined.</x:v>
      </x:c>
      <x:c r="M7" s="23" t="str">
        <x:v>TO DO HUMAN</x:v>
      </x:c>
      <x:c r="N7" s="23" t="str">
        <x:v>Pending human audit. Confirm matrix traceability and approve every SPECIFICATION GAP oracle before execution.</x:v>
      </x:c>
      <x:c r="O7" s="23" t="str"/>
      <x:c r="P7" s="23" t="str"/>
      <x:c r="Q7" s="23" t="str">
        <x:v>FR01-API-TC003 | Reject a password one character below the documented minimum</x:v>
      </x:c>
      <x:c r="R7" s="23" t="str"/>
      <x:c r="S7" s="23" t="str">
        <x:v>NOT RUN</x:v>
      </x:c>
      <x:c r="T7" s="23" t="str"/>
      <x:c r="U7" s="23" t="str">
        <x:v>Trace: Domain Matrix—password lower boundary 7 invalid; State Matrix—invalid request preserves S0.</x:v>
      </x:c>
    </x:row>
    <x:row r="8" ht="96" customHeight="1">
      <x:c r="A8" s="52" t="str">
        <x:v>FR01-API-TC004</x:v>
      </x:c>
      <x:c r="B8" s="23" t="str">
        <x:v>FR-01</x:v>
      </x:c>
      <x:c r="C8" s="23" t="str">
        <x:v>POST /api/register</x:v>
      </x:c>
      <x:c r="D8" s="23" t="str">
        <x:v>AI</x:v>
      </x:c>
      <x:c r="E8" s="54" t="str">
        <x:v>Domain</x:v>
      </x:c>
      <x:c r="F8" s="23" t="str">
        <x:v>Reject an 8-character password with no uppercase letter</x:v>
      </x:c>
      <x:c r="G8" s="23" t="str">
        <x:v>Backend is available; generated email does not exist.</x:v>
      </x:c>
      <x:c r="H8" s="23" t="str">
        <x:v>{"name":"Đinh Hoàng Nam","email":"fr01.tc004@example.test","password":"aa1@aaaa"}</x:v>
      </x:c>
      <x:c r="I8" s="23" t="str">
        <x:v>1. Set base URL to http://127.0.0.1:3000.
2. Send POST /api/register with Content-Type: application/json.
3. Use body: {"name":"Đinh Hoàng Nam","email":"fr01.tc004@example.test","password":"aa1@aaaa"}.
4. Capture status, response headers, and JSON body.</x:v>
      </x:c>
      <x:c r="J8" s="23" t="str">
        <x:v>SPECIFICATION GAP — HUMAN DECISION REQUIRED: invalid-request HTTP status is not defined.</x:v>
      </x:c>
      <x:c r="K8" s="23" t="str">
        <x:v>SPECIFICATION GAP — HUMAN DECISION REQUIRED: reject the request without creating/changing an account; exact error body is not defined.</x:v>
      </x:c>
      <x:c r="L8" s="23" t="str">
        <x:v>SPECIFICATION GAP — HUMAN DECISION REQUIRED: error response properties, types, and additionalProperties policy are not defined.</x:v>
      </x:c>
      <x:c r="M8" s="23" t="str">
        <x:v>TO DO HUMAN</x:v>
      </x:c>
      <x:c r="N8" s="23" t="str">
        <x:v>Pending human audit. Confirm matrix traceability and approve every SPECIFICATION GAP oracle before execution.</x:v>
      </x:c>
      <x:c r="O8" s="23" t="str"/>
      <x:c r="P8" s="23" t="str"/>
      <x:c r="Q8" s="23" t="str">
        <x:v>FR01-API-TC004 | Reject an 8-character password with no uppercase letter</x:v>
      </x:c>
      <x:c r="R8" s="23" t="str"/>
      <x:c r="S8" s="23" t="str">
        <x:v>NOT RUN</x:v>
      </x:c>
      <x:c r="T8" s="23" t="str"/>
      <x:c r="U8" s="23" t="str">
        <x:v>Trace: Domain Matrix—missing uppercase password partition.</x:v>
      </x:c>
    </x:row>
    <x:row r="9" ht="96" customHeight="1">
      <x:c r="A9" s="52" t="str">
        <x:v>FR01-API-TC005</x:v>
      </x:c>
      <x:c r="B9" s="23" t="str">
        <x:v>FR-01</x:v>
      </x:c>
      <x:c r="C9" s="23" t="str">
        <x:v>POST /api/register</x:v>
      </x:c>
      <x:c r="D9" s="23" t="str">
        <x:v>AI</x:v>
      </x:c>
      <x:c r="E9" s="54" t="str">
        <x:v>Domain</x:v>
      </x:c>
      <x:c r="F9" s="23" t="str">
        <x:v>Reject an 8-character password with no lowercase letter</x:v>
      </x:c>
      <x:c r="G9" s="23" t="str">
        <x:v>Backend is available; generated email does not exist.</x:v>
      </x:c>
      <x:c r="H9" s="23" t="str">
        <x:v>{"name":"Đinh Hoàng Nam","email":"fr01.tc005@example.test","password":"AA1@AAAA"}</x:v>
      </x:c>
      <x:c r="I9" s="23" t="str">
        <x:v>1. Set base URL to http://127.0.0.1:3000.
2. Send POST /api/register with Content-Type: application/json.
3. Use body: {"name":"Đinh Hoàng Nam","email":"fr01.tc005@example.test","password":"AA1@AAAA"}.
4. Capture status, response headers, and JSON body.</x:v>
      </x:c>
      <x:c r="J9" s="23" t="str">
        <x:v>SPECIFICATION GAP — HUMAN DECISION REQUIRED: invalid-request HTTP status is not defined.</x:v>
      </x:c>
      <x:c r="K9" s="23" t="str">
        <x:v>SPECIFICATION GAP — HUMAN DECISION REQUIRED: reject the request without creating/changing an account; exact error body is not defined.</x:v>
      </x:c>
      <x:c r="L9" s="23" t="str">
        <x:v>SPECIFICATION GAP — HUMAN DECISION REQUIRED: error response properties, types, and additionalProperties policy are not defined.</x:v>
      </x:c>
      <x:c r="M9" s="23" t="str">
        <x:v>TO DO HUMAN</x:v>
      </x:c>
      <x:c r="N9" s="23" t="str">
        <x:v>Pending human audit. Confirm matrix traceability and approve every SPECIFICATION GAP oracle before execution.</x:v>
      </x:c>
      <x:c r="O9" s="23" t="str"/>
      <x:c r="P9" s="23" t="str"/>
      <x:c r="Q9" s="23" t="str">
        <x:v>FR01-API-TC005 | Reject an 8-character password with no lowercase letter</x:v>
      </x:c>
      <x:c r="R9" s="23" t="str"/>
      <x:c r="S9" s="23" t="str">
        <x:v>NOT RUN</x:v>
      </x:c>
      <x:c r="T9" s="23" t="str"/>
      <x:c r="U9" s="23" t="str">
        <x:v>Trace: Domain Matrix—missing lowercase password partition.</x:v>
      </x:c>
    </x:row>
    <x:row r="10" ht="96" customHeight="1">
      <x:c r="A10" s="52" t="str">
        <x:v>FR01-API-TC006</x:v>
      </x:c>
      <x:c r="B10" s="23" t="str">
        <x:v>FR-01</x:v>
      </x:c>
      <x:c r="C10" s="23" t="str">
        <x:v>POST /api/register</x:v>
      </x:c>
      <x:c r="D10" s="23" t="str">
        <x:v>AI</x:v>
      </x:c>
      <x:c r="E10" s="54" t="str">
        <x:v>Domain</x:v>
      </x:c>
      <x:c r="F10" s="23" t="str">
        <x:v>Reject an 8-character password with no digit</x:v>
      </x:c>
      <x:c r="G10" s="23" t="str">
        <x:v>Backend is available; generated email does not exist.</x:v>
      </x:c>
      <x:c r="H10" s="23" t="str">
        <x:v>{"name":"Đinh Hoàng Nam","email":"fr01.tc006@example.test","password":"Aa@aaaaa"}</x:v>
      </x:c>
      <x:c r="I10" s="23" t="str">
        <x:v>1. Set base URL to http://127.0.0.1:3000.
2. Send POST /api/register with Content-Type: application/json.
3. Use body: {"name":"Đinh Hoàng Nam","email":"fr01.tc006@example.test","password":"Aa@aaaaa"}.
4. Capture status, response headers, and JSON body.</x:v>
      </x:c>
      <x:c r="J10" s="23" t="str">
        <x:v>SPECIFICATION GAP — HUMAN DECISION REQUIRED: invalid-request HTTP status is not defined.</x:v>
      </x:c>
      <x:c r="K10" s="23" t="str">
        <x:v>SPECIFICATION GAP — HUMAN DECISION REQUIRED: reject the request without creating/changing an account; exact error body is not defined.</x:v>
      </x:c>
      <x:c r="L10" s="23" t="str">
        <x:v>SPECIFICATION GAP — HUMAN DECISION REQUIRED: error response properties, types, and additionalProperties policy are not defined.</x:v>
      </x:c>
      <x:c r="M10" s="23" t="str">
        <x:v>TO DO HUMAN</x:v>
      </x:c>
      <x:c r="N10" s="23" t="str">
        <x:v>Pending human audit. Confirm matrix traceability and approve every SPECIFICATION GAP oracle before execution.</x:v>
      </x:c>
      <x:c r="O10" s="23" t="str"/>
      <x:c r="P10" s="23" t="str"/>
      <x:c r="Q10" s="23" t="str">
        <x:v>FR01-API-TC006 | Reject an 8-character password with no digit</x:v>
      </x:c>
      <x:c r="R10" s="23" t="str"/>
      <x:c r="S10" s="23" t="str">
        <x:v>NOT RUN</x:v>
      </x:c>
      <x:c r="T10" s="23" t="str"/>
      <x:c r="U10" s="23" t="str">
        <x:v>Trace: Domain Matrix—missing digit password partition.</x:v>
      </x:c>
    </x:row>
    <x:row r="11" ht="96" customHeight="1">
      <x:c r="A11" s="52" t="str">
        <x:v>FR01-API-TC007</x:v>
      </x:c>
      <x:c r="B11" s="23" t="str">
        <x:v>FR-01</x:v>
      </x:c>
      <x:c r="C11" s="23" t="str">
        <x:v>POST /api/register</x:v>
      </x:c>
      <x:c r="D11" s="23" t="str">
        <x:v>AI</x:v>
      </x:c>
      <x:c r="E11" s="54" t="str">
        <x:v>Domain</x:v>
      </x:c>
      <x:c r="F11" s="23" t="str">
        <x:v>Reject an 8-character password with no special character</x:v>
      </x:c>
      <x:c r="G11" s="23" t="str">
        <x:v>Backend is available; generated email does not exist.</x:v>
      </x:c>
      <x:c r="H11" s="23" t="str">
        <x:v>{"name":"Đinh Hoàng Nam","email":"fr01.tc007@example.test","password":"Aa1aaaaa"}</x:v>
      </x:c>
      <x:c r="I11" s="23" t="str">
        <x:v>1. Set base URL to http://127.0.0.1:3000.
2. Send POST /api/register with Content-Type: application/json.
3. Use body: {"name":"Đinh Hoàng Nam","email":"fr01.tc007@example.test","password":"Aa1aaaaa"}.
4. Capture status, response headers, and JSON body.</x:v>
      </x:c>
      <x:c r="J11" s="23" t="str">
        <x:v>SPECIFICATION GAP — HUMAN DECISION REQUIRED: invalid-request HTTP status is not defined.</x:v>
      </x:c>
      <x:c r="K11" s="23" t="str">
        <x:v>SPECIFICATION GAP — HUMAN DECISION REQUIRED: reject the request without creating/changing an account; exact error body is not defined.</x:v>
      </x:c>
      <x:c r="L11" s="23" t="str">
        <x:v>SPECIFICATION GAP — HUMAN DECISION REQUIRED: error response properties, types, and additionalProperties policy are not defined.</x:v>
      </x:c>
      <x:c r="M11" s="23" t="str">
        <x:v>TO DO HUMAN</x:v>
      </x:c>
      <x:c r="N11" s="23" t="str">
        <x:v>Pending human audit. Confirm matrix traceability and approve every SPECIFICATION GAP oracle before execution.</x:v>
      </x:c>
      <x:c r="O11" s="23" t="str"/>
      <x:c r="P11" s="23" t="str"/>
      <x:c r="Q11" s="23" t="str">
        <x:v>FR01-API-TC007 | Reject an 8-character password with no special character</x:v>
      </x:c>
      <x:c r="R11" s="23" t="str"/>
      <x:c r="S11" s="23" t="str">
        <x:v>NOT RUN</x:v>
      </x:c>
      <x:c r="T11" s="23" t="str"/>
      <x:c r="U11" s="23" t="str">
        <x:v>Trace: Domain Matrix—missing special-character password partition.</x:v>
      </x:c>
    </x:row>
    <x:row r="12" ht="96" customHeight="1">
      <x:c r="A12" s="52" t="str">
        <x:v>FR01-API-TC008</x:v>
      </x:c>
      <x:c r="B12" s="23" t="str">
        <x:v>FR-01</x:v>
      </x:c>
      <x:c r="C12" s="23" t="str">
        <x:v>POST /api/register</x:v>
      </x:c>
      <x:c r="D12" s="23" t="str">
        <x:v>AI</x:v>
      </x:c>
      <x:c r="E12" s="54" t="str">
        <x:v>Domain</x:v>
      </x:c>
      <x:c r="F12" s="23" t="str">
        <x:v>Reject a password whose only punctuation is outside the documented @ $ ! % * ? &amp; set</x:v>
      </x:c>
      <x:c r="G12" s="23" t="str">
        <x:v>Backend is available; generated email does not exist.</x:v>
      </x:c>
      <x:c r="H12" s="23" t="str">
        <x:v>{"name":"Đinh Hoàng Nam","email":"fr01.tc008@example.test","password":"Aa1#aaaa"}</x:v>
      </x:c>
      <x:c r="I12" s="23" t="str">
        <x:v>1. Set base URL to http://127.0.0.1:3000.
2. Send POST /api/register with Content-Type: application/json.
3. Use body: {"name":"Đinh Hoàng Nam","email":"fr01.tc008@example.test","password":"Aa1#aaaa"}.
4. Capture status, response headers, and JSON body.</x:v>
      </x:c>
      <x:c r="J12" s="23" t="str">
        <x:v>SPECIFICATION GAP — HUMAN DECISION REQUIRED: invalid-request HTTP status is not defined.</x:v>
      </x:c>
      <x:c r="K12" s="23" t="str">
        <x:v>SPECIFICATION GAP — HUMAN DECISION REQUIRED: reject the request without creating/changing an account; exact error body is not defined.</x:v>
      </x:c>
      <x:c r="L12" s="23" t="str">
        <x:v>SPECIFICATION GAP — HUMAN DECISION REQUIRED: error response properties, types, and additionalProperties policy are not defined.</x:v>
      </x:c>
      <x:c r="M12" s="23" t="str">
        <x:v>TO DO HUMAN</x:v>
      </x:c>
      <x:c r="N12" s="23" t="str">
        <x:v>Pending human audit. Confirm matrix traceability and approve every SPECIFICATION GAP oracle before execution.</x:v>
      </x:c>
      <x:c r="O12" s="23" t="str"/>
      <x:c r="P12" s="23" t="str"/>
      <x:c r="Q12" s="23" t="str">
        <x:v>FR01-API-TC008 | Reject a password whose only punctuation is outside the documented @ $ ! % * ? &amp; set</x:v>
      </x:c>
      <x:c r="R12" s="23" t="str"/>
      <x:c r="S12" s="23" t="str">
        <x:v>NOT RUN</x:v>
      </x:c>
      <x:c r="T12" s="23" t="str"/>
      <x:c r="U12" s="23" t="str">
        <x:v>Trace: Domain Matrix—listed-special valid domain and unlisted-special invalid partition.</x:v>
      </x:c>
    </x:row>
    <x:row r="13" ht="96" customHeight="1">
      <x:c r="A13" s="52" t="str">
        <x:v>FR01-API-TC009</x:v>
      </x:c>
      <x:c r="B13" s="23" t="str">
        <x:v>FR-01</x:v>
      </x:c>
      <x:c r="C13" s="23" t="str">
        <x:v>POST /api/register</x:v>
      </x:c>
      <x:c r="D13" s="23" t="str">
        <x:v>AI</x:v>
      </x:c>
      <x:c r="E13" s="54" t="str">
        <x:v>Domain</x:v>
      </x:c>
      <x:c r="F13" s="23" t="str">
        <x:v>Reject an email address with no at-sign</x:v>
      </x:c>
      <x:c r="G13" s="23" t="str">
        <x:v>Backend is available; no account exists for the malformed identifier.</x:v>
      </x:c>
      <x:c r="H13" s="23" t="str">
        <x:v>{"name":"Đinh Hoàng Nam","email":"fr01.tc009.example.test","password":"Valid1@a"}</x:v>
      </x:c>
      <x:c r="I13" s="23" t="str">
        <x:v>1. Set base URL to http://127.0.0.1:3000.
2. Send POST /api/register with Content-Type: application/json.
3. Use body: {"name":"Đinh Hoàng Nam","email":"fr01.tc009.example.test","password":"Valid1@a"}.
4. Capture status, response headers, and JSON body.</x:v>
      </x:c>
      <x:c r="J13" s="23" t="str">
        <x:v>SPECIFICATION GAP — HUMAN DECISION REQUIRED: invalid-request HTTP status is not defined.</x:v>
      </x:c>
      <x:c r="K13" s="23" t="str">
        <x:v>SPECIFICATION GAP — HUMAN DECISION REQUIRED: reject the request without creating/changing an account; exact error body is not defined.</x:v>
      </x:c>
      <x:c r="L13" s="23" t="str">
        <x:v>SPECIFICATION GAP — HUMAN DECISION REQUIRED: error response properties, types, and additionalProperties policy are not defined.</x:v>
      </x:c>
      <x:c r="M13" s="23" t="str">
        <x:v>TO DO HUMAN</x:v>
      </x:c>
      <x:c r="N13" s="23" t="str">
        <x:v>Pending human audit. Confirm matrix traceability and approve every SPECIFICATION GAP oracle before execution.</x:v>
      </x:c>
      <x:c r="O13" s="23" t="str"/>
      <x:c r="P13" s="23" t="str"/>
      <x:c r="Q13" s="23" t="str">
        <x:v>FR01-API-TC009 | Reject an email address with no at-sign</x:v>
      </x:c>
      <x:c r="R13" s="23" t="str"/>
      <x:c r="S13" s="23" t="str">
        <x:v>NOT RUN</x:v>
      </x:c>
      <x:c r="T13" s="23" t="str"/>
      <x:c r="U13" s="23" t="str">
        <x:v>Trace: Domain Matrix—invalid email syntax, missing @.</x:v>
      </x:c>
    </x:row>
    <x:row r="14" ht="96" customHeight="1">
      <x:c r="A14" s="52" t="str">
        <x:v>FR01-API-TC010</x:v>
      </x:c>
      <x:c r="B14" s="23" t="str">
        <x:v>FR-01</x:v>
      </x:c>
      <x:c r="C14" s="23" t="str">
        <x:v>POST /api/register</x:v>
      </x:c>
      <x:c r="D14" s="23" t="str">
        <x:v>AI</x:v>
      </x:c>
      <x:c r="E14" s="54" t="str">
        <x:v>Domain</x:v>
      </x:c>
      <x:c r="F14" s="23" t="str">
        <x:v>Reject an email address with an empty local part</x:v>
      </x:c>
      <x:c r="G14" s="23" t="str">
        <x:v>Backend is available; no account exists for the malformed identifier.</x:v>
      </x:c>
      <x:c r="H14" s="23" t="str">
        <x:v>{"name":"Đinh Hoàng Nam","email":"@example.test","password":"Valid1@a"}</x:v>
      </x:c>
      <x:c r="I14" s="23" t="str">
        <x:v>1. Set base URL to http://127.0.0.1:3000.
2. Send POST /api/register with Content-Type: application/json.
3. Use body: {"name":"Đinh Hoàng Nam","email":"@example.test","password":"Valid1@a"}.
4. Capture status, response headers, and JSON body.</x:v>
      </x:c>
      <x:c r="J14" s="23" t="str">
        <x:v>SPECIFICATION GAP — HUMAN DECISION REQUIRED: invalid-request HTTP status is not defined.</x:v>
      </x:c>
      <x:c r="K14" s="23" t="str">
        <x:v>SPECIFICATION GAP — HUMAN DECISION REQUIRED: reject the request without creating/changing an account; exact error body is not defined.</x:v>
      </x:c>
      <x:c r="L14" s="23" t="str">
        <x:v>SPECIFICATION GAP — HUMAN DECISION REQUIRED: error response properties, types, and additionalProperties policy are not defined.</x:v>
      </x:c>
      <x:c r="M14" s="23" t="str">
        <x:v>TO DO HUMAN</x:v>
      </x:c>
      <x:c r="N14" s="23" t="str">
        <x:v>Pending human audit. Confirm matrix traceability and approve every SPECIFICATION GAP oracle before execution.</x:v>
      </x:c>
      <x:c r="O14" s="23" t="str"/>
      <x:c r="P14" s="23" t="str"/>
      <x:c r="Q14" s="23" t="str">
        <x:v>FR01-API-TC010 | Reject an email address with an empty local part</x:v>
      </x:c>
      <x:c r="R14" s="23" t="str"/>
      <x:c r="S14" s="23" t="str">
        <x:v>NOT RUN</x:v>
      </x:c>
      <x:c r="T14" s="23" t="str"/>
      <x:c r="U14" s="23" t="str">
        <x:v>Trace: Domain Matrix—invalid email syntax, empty local part.</x:v>
      </x:c>
    </x:row>
    <x:row r="15" ht="96" customHeight="1">
      <x:c r="A15" s="52" t="str">
        <x:v>FR01-API-TC011</x:v>
      </x:c>
      <x:c r="B15" s="23" t="str">
        <x:v>FR-01</x:v>
      </x:c>
      <x:c r="C15" s="23" t="str">
        <x:v>POST /api/register</x:v>
      </x:c>
      <x:c r="D15" s="23" t="str">
        <x:v>AI</x:v>
      </x:c>
      <x:c r="E15" s="54" t="str">
        <x:v>Domain</x:v>
      </x:c>
      <x:c r="F15" s="23" t="str">
        <x:v>Reject an email address with an empty domain part</x:v>
      </x:c>
      <x:c r="G15" s="23" t="str">
        <x:v>Backend is available; no account exists for the malformed identifier.</x:v>
      </x:c>
      <x:c r="H15" s="23" t="str">
        <x:v>{"name":"Đinh Hoàng Nam","email":"fr01.tc011@","password":"Valid1@a"}</x:v>
      </x:c>
      <x:c r="I15" s="23" t="str">
        <x:v>1. Set base URL to http://127.0.0.1:3000.
2. Send POST /api/register with Content-Type: application/json.
3. Use body: {"name":"Đinh Hoàng Nam","email":"fr01.tc011@","password":"Valid1@a"}.
4. Capture status, response headers, and JSON body.</x:v>
      </x:c>
      <x:c r="J15" s="23" t="str">
        <x:v>SPECIFICATION GAP — HUMAN DECISION REQUIRED: invalid-request HTTP status is not defined.</x:v>
      </x:c>
      <x:c r="K15" s="23" t="str">
        <x:v>SPECIFICATION GAP — HUMAN DECISION REQUIRED: reject the request without creating/changing an account; exact error body is not defined.</x:v>
      </x:c>
      <x:c r="L15" s="23" t="str">
        <x:v>SPECIFICATION GAP — HUMAN DECISION REQUIRED: error response properties, types, and additionalProperties policy are not defined.</x:v>
      </x:c>
      <x:c r="M15" s="23" t="str">
        <x:v>TO DO HUMAN</x:v>
      </x:c>
      <x:c r="N15" s="23" t="str">
        <x:v>Pending human audit. Confirm matrix traceability and approve every SPECIFICATION GAP oracle before execution.</x:v>
      </x:c>
      <x:c r="O15" s="23" t="str"/>
      <x:c r="P15" s="23" t="str"/>
      <x:c r="Q15" s="23" t="str">
        <x:v>FR01-API-TC011 | Reject an email address with an empty domain part</x:v>
      </x:c>
      <x:c r="R15" s="23" t="str"/>
      <x:c r="S15" s="23" t="str">
        <x:v>NOT RUN</x:v>
      </x:c>
      <x:c r="T15" s="23" t="str"/>
      <x:c r="U15" s="23" t="str">
        <x:v>Trace: Domain Matrix—invalid email syntax, empty domain.</x:v>
      </x:c>
    </x:row>
    <x:row r="16" ht="96" customHeight="1">
      <x:c r="A16" s="52" t="str">
        <x:v>FR01-API-TC012</x:v>
      </x:c>
      <x:c r="B16" s="23" t="str">
        <x:v>FR-01</x:v>
      </x:c>
      <x:c r="C16" s="23" t="str">
        <x:v>POST /api/register</x:v>
      </x:c>
      <x:c r="D16" s="23" t="str">
        <x:v>AI</x:v>
      </x:c>
      <x:c r="E16" s="54" t="str">
        <x:v>Domain</x:v>
      </x:c>
      <x:c r="F16" s="23" t="str">
        <x:v>Reject a request with the required name field missing</x:v>
      </x:c>
      <x:c r="G16" s="23" t="str">
        <x:v>Backend is available; generated email does not exist.</x:v>
      </x:c>
      <x:c r="H16" s="23" t="str">
        <x:v>{"email":"fr01.tc012@example.test","password":"Valid1@a"}</x:v>
      </x:c>
      <x:c r="I16" s="23" t="str">
        <x:v>1. Set base URL to http://127.0.0.1:3000.
2. Send POST /api/register with Content-Type: application/json.
3. Use body: {"email":"fr01.tc012@example.test","password":"Valid1@a"}.
4. Capture status, response headers, and JSON body.</x:v>
      </x:c>
      <x:c r="J16" s="23" t="str">
        <x:v>SPECIFICATION GAP — HUMAN DECISION REQUIRED: invalid-request HTTP status is not defined.</x:v>
      </x:c>
      <x:c r="K16" s="23" t="str">
        <x:v>SPECIFICATION GAP — HUMAN DECISION REQUIRED: reject the request without creating/changing an account; exact error body is not defined.</x:v>
      </x:c>
      <x:c r="L16" s="23" t="str">
        <x:v>SPECIFICATION GAP — HUMAN DECISION REQUIRED: error response properties, types, and additionalProperties policy are not defined.</x:v>
      </x:c>
      <x:c r="M16" s="23" t="str">
        <x:v>TO DO HUMAN</x:v>
      </x:c>
      <x:c r="N16" s="23" t="str">
        <x:v>Pending human audit. Confirm matrix traceability and approve every SPECIFICATION GAP oracle before execution.</x:v>
      </x:c>
      <x:c r="O16" s="23" t="str"/>
      <x:c r="P16" s="23" t="str"/>
      <x:c r="Q16" s="23" t="str">
        <x:v>FR01-API-TC012 | Reject a request with the required name field missing</x:v>
      </x:c>
      <x:c r="R16" s="23" t="str"/>
      <x:c r="S16" s="23" t="str">
        <x:v>NOT RUN</x:v>
      </x:c>
      <x:c r="T16" s="23" t="str"/>
      <x:c r="U16" s="23" t="str">
        <x:v>Trace: Domain Matrix—name missing; Contract Matrix—name is required.</x:v>
      </x:c>
    </x:row>
    <x:row r="17" ht="96" customHeight="1">
      <x:c r="A17" s="52" t="str">
        <x:v>FR01-API-TC013</x:v>
      </x:c>
      <x:c r="B17" s="23" t="str">
        <x:v>FR-01</x:v>
      </x:c>
      <x:c r="C17" s="23" t="str">
        <x:v>POST /api/register</x:v>
      </x:c>
      <x:c r="D17" s="23" t="str">
        <x:v>AI</x:v>
      </x:c>
      <x:c r="E17" s="54" t="str">
        <x:v>Domain</x:v>
      </x:c>
      <x:c r="F17" s="23" t="str">
        <x:v>Reject a request with the required email field missing</x:v>
      </x:c>
      <x:c r="G17" s="23" t="str">
        <x:v>Backend is available.</x:v>
      </x:c>
      <x:c r="H17" s="23" t="str">
        <x:v>{"name":"Đinh Hoàng Nam","password":"Valid1@a"}</x:v>
      </x:c>
      <x:c r="I17" s="23" t="str">
        <x:v>1. Set base URL to http://127.0.0.1:3000.
2. Send POST /api/register with Content-Type: application/json.
3. Use body: {"name":"Đinh Hoàng Nam","password":"Valid1@a"}.
4. Capture status, response headers, and JSON body.</x:v>
      </x:c>
      <x:c r="J17" s="23" t="str">
        <x:v>SPECIFICATION GAP — HUMAN DECISION REQUIRED: invalid-request HTTP status is not defined.</x:v>
      </x:c>
      <x:c r="K17" s="23" t="str">
        <x:v>SPECIFICATION GAP — HUMAN DECISION REQUIRED: reject the request without creating/changing an account; exact error body is not defined.</x:v>
      </x:c>
      <x:c r="L17" s="23" t="str">
        <x:v>SPECIFICATION GAP — HUMAN DECISION REQUIRED: error response properties, types, and additionalProperties policy are not defined.</x:v>
      </x:c>
      <x:c r="M17" s="23" t="str">
        <x:v>TO DO HUMAN</x:v>
      </x:c>
      <x:c r="N17" s="23" t="str">
        <x:v>Pending human audit. Confirm matrix traceability and approve every SPECIFICATION GAP oracle before execution.</x:v>
      </x:c>
      <x:c r="O17" s="23" t="str"/>
      <x:c r="P17" s="23" t="str"/>
      <x:c r="Q17" s="23" t="str">
        <x:v>FR01-API-TC013 | Reject a request with the required email field missing</x:v>
      </x:c>
      <x:c r="R17" s="23" t="str"/>
      <x:c r="S17" s="23" t="str">
        <x:v>NOT RUN</x:v>
      </x:c>
      <x:c r="T17" s="23" t="str"/>
      <x:c r="U17" s="23" t="str">
        <x:v>Trace: Domain Matrix—email missing; Contract Matrix—email is required.</x:v>
      </x:c>
    </x:row>
    <x:row r="18" ht="96" customHeight="1">
      <x:c r="A18" s="52" t="str">
        <x:v>FR01-API-TC014</x:v>
      </x:c>
      <x:c r="B18" s="23" t="str">
        <x:v>FR-01</x:v>
      </x:c>
      <x:c r="C18" s="23" t="str">
        <x:v>POST /api/register</x:v>
      </x:c>
      <x:c r="D18" s="23" t="str">
        <x:v>AI</x:v>
      </x:c>
      <x:c r="E18" s="54" t="str">
        <x:v>Domain</x:v>
      </x:c>
      <x:c r="F18" s="23" t="str">
        <x:v>Reject a request with the required password field missing</x:v>
      </x:c>
      <x:c r="G18" s="23" t="str">
        <x:v>Backend is available; generated email does not exist.</x:v>
      </x:c>
      <x:c r="H18" s="23" t="str">
        <x:v>{"name":"Đinh Hoàng Nam","email":"fr01.tc014@example.test"}</x:v>
      </x:c>
      <x:c r="I18" s="23" t="str">
        <x:v>1. Set base URL to http://127.0.0.1:3000.
2. Send POST /api/register with Content-Type: application/json.
3. Use body: {"name":"Đinh Hoàng Nam","email":"fr01.tc014@example.test"}.
4. Capture status, response headers, and JSON body.</x:v>
      </x:c>
      <x:c r="J18" s="23" t="str">
        <x:v>SPECIFICATION GAP — HUMAN DECISION REQUIRED: invalid-request HTTP status is not defined.</x:v>
      </x:c>
      <x:c r="K18" s="23" t="str">
        <x:v>SPECIFICATION GAP — HUMAN DECISION REQUIRED: reject the request without creating/changing an account; exact error body is not defined.</x:v>
      </x:c>
      <x:c r="L18" s="23" t="str">
        <x:v>SPECIFICATION GAP — HUMAN DECISION REQUIRED: error response properties, types, and additionalProperties policy are not defined.</x:v>
      </x:c>
      <x:c r="M18" s="23" t="str">
        <x:v>TO DO HUMAN</x:v>
      </x:c>
      <x:c r="N18" s="23" t="str">
        <x:v>Pending human audit. Confirm matrix traceability and approve every SPECIFICATION GAP oracle before execution.</x:v>
      </x:c>
      <x:c r="O18" s="23" t="str"/>
      <x:c r="P18" s="23" t="str"/>
      <x:c r="Q18" s="23" t="str">
        <x:v>FR01-API-TC014 | Reject a request with the required password field missing</x:v>
      </x:c>
      <x:c r="R18" s="23" t="str"/>
      <x:c r="S18" s="23" t="str">
        <x:v>NOT RUN</x:v>
      </x:c>
      <x:c r="T18" s="23" t="str"/>
      <x:c r="U18" s="23" t="str">
        <x:v>Trace: Domain Matrix—password missing; Contract Matrix—password is required.</x:v>
      </x:c>
    </x:row>
    <x:row r="19" ht="96" customHeight="1">
      <x:c r="A19" s="52" t="str">
        <x:v>FR01-API-TC015</x:v>
      </x:c>
      <x:c r="B19" s="23" t="str">
        <x:v>FR-01</x:v>
      </x:c>
      <x:c r="C19" s="23" t="str">
        <x:v>POST /api/register</x:v>
      </x:c>
      <x:c r="D19" s="23" t="str">
        <x:v>AI</x:v>
      </x:c>
      <x:c r="E19" s="54" t="str">
        <x:v>Domain</x:v>
      </x:c>
      <x:c r="F19" s="23" t="str">
        <x:v>Characterize null handling for the required name field without inventing an oracle</x:v>
      </x:c>
      <x:c r="G19" s="23" t="str">
        <x:v>Backend is available; generated email does not exist.</x:v>
      </x:c>
      <x:c r="H19" s="23" t="str">
        <x:v>{"name":null,"email":"fr01.tc015@example.test","password":"Valid1@a"}</x:v>
      </x:c>
      <x:c r="I19" s="23" t="str">
        <x:v>1. Set base URL to http://127.0.0.1:3000.
2. Send POST /api/register with Content-Type: application/json.
3. Use body: {"name":null,"email":"fr01.tc015@example.test","password":"Valid1@a"}.
4. Capture status, response headers, and JSON body.</x:v>
      </x:c>
      <x:c r="J19" s="23" t="str">
        <x:v>SPECIFICATION GAP — HUMAN DECISION REQUIRED: invalid-request HTTP status is not defined.</x:v>
      </x:c>
      <x:c r="K19" s="23" t="str">
        <x:v>SPECIFICATION GAP — HUMAN DECISION REQUIRED: reject the request without creating/changing an account; exact error body is not defined.</x:v>
      </x:c>
      <x:c r="L19" s="23" t="str">
        <x:v>SPECIFICATION GAP — HUMAN DECISION REQUIRED: error response properties, types, and additionalProperties policy are not defined.</x:v>
      </x:c>
      <x:c r="M19" s="23" t="str">
        <x:v>TO DO HUMAN</x:v>
      </x:c>
      <x:c r="N19" s="23" t="str">
        <x:v>Pending human audit. Confirm matrix traceability and approve every SPECIFICATION GAP oracle before execution.</x:v>
      </x:c>
      <x:c r="O19" s="23" t="str"/>
      <x:c r="P19" s="23" t="str"/>
      <x:c r="Q19" s="23" t="str">
        <x:v>FR01-API-TC015 | Characterize null handling for the required name field without inventing an oracle</x:v>
      </x:c>
      <x:c r="R19" s="23" t="str"/>
      <x:c r="S19" s="23" t="str">
        <x:v>NOT RUN</x:v>
      </x:c>
      <x:c r="T19" s="23" t="str"/>
      <x:c r="U19" s="23" t="str">
        <x:v>Trace: Domain Matrix—name null partition; exact name constraints are a SPECIFICATION GAP.</x:v>
      </x:c>
    </x:row>
    <x:row r="20" ht="96" customHeight="1">
      <x:c r="A20" s="52" t="str">
        <x:v>FR01-API-TC016</x:v>
      </x:c>
      <x:c r="B20" s="23" t="str">
        <x:v>FR-01</x:v>
      </x:c>
      <x:c r="C20" s="23" t="str">
        <x:v>POST /api/register</x:v>
      </x:c>
      <x:c r="D20" s="23" t="str">
        <x:v>AI</x:v>
      </x:c>
      <x:c r="E20" s="54" t="str">
        <x:v>Domain</x:v>
      </x:c>
      <x:c r="F20" s="23" t="str">
        <x:v>Reject a numeric email value as the wrong JSON type</x:v>
      </x:c>
      <x:c r="G20" s="23" t="str">
        <x:v>Backend is available; numeric value is not an existing account identifier.</x:v>
      </x:c>
      <x:c r="H20" s="23" t="str">
        <x:v>{"name":"Đinh Hoàng Nam","email":23127430,"password":"Valid1@a"}</x:v>
      </x:c>
      <x:c r="I20" s="23" t="str">
        <x:v>1. Set base URL to http://127.0.0.1:3000.
2. Send POST /api/register with Content-Type: application/json.
3. Use body: {"name":"Đinh Hoàng Nam","email":23127430,"password":"Valid1@a"}.
4. Capture status, response headers, and JSON body.</x:v>
      </x:c>
      <x:c r="J20" s="23" t="str">
        <x:v>SPECIFICATION GAP — HUMAN DECISION REQUIRED: invalid-request HTTP status is not defined.</x:v>
      </x:c>
      <x:c r="K20" s="23" t="str">
        <x:v>SPECIFICATION GAP — HUMAN DECISION REQUIRED: reject the request without creating/changing an account; exact error body is not defined.</x:v>
      </x:c>
      <x:c r="L20" s="23" t="str">
        <x:v>SPECIFICATION GAP — HUMAN DECISION REQUIRED: error response properties, types, and additionalProperties policy are not defined.</x:v>
      </x:c>
      <x:c r="M20" s="23" t="str">
        <x:v>TO DO HUMAN</x:v>
      </x:c>
      <x:c r="N20" s="23" t="str">
        <x:v>Pending human audit. Confirm matrix traceability and approve every SPECIFICATION GAP oracle before execution.</x:v>
      </x:c>
      <x:c r="O20" s="23" t="str"/>
      <x:c r="P20" s="23" t="str"/>
      <x:c r="Q20" s="23" t="str">
        <x:v>FR01-API-TC016 | Reject a numeric email value as the wrong JSON type</x:v>
      </x:c>
      <x:c r="R20" s="23" t="str"/>
      <x:c r="S20" s="23" t="str">
        <x:v>NOT RUN</x:v>
      </x:c>
      <x:c r="T20" s="23" t="str"/>
      <x:c r="U20" s="23" t="str">
        <x:v>Trace: Domain Matrix—email wrong-type partition.</x:v>
      </x:c>
    </x:row>
    <x:row r="21" ht="96" customHeight="1">
      <x:c r="A21" s="52" t="str">
        <x:v>FR01-API-TC017</x:v>
      </x:c>
      <x:c r="B21" s="23" t="str">
        <x:v>FR-01</x:v>
      </x:c>
      <x:c r="C21" s="23" t="str">
        <x:v>POST /api/register</x:v>
      </x:c>
      <x:c r="D21" s="23" t="str">
        <x:v>AI</x:v>
      </x:c>
      <x:c r="E21" s="54" t="str">
        <x:v>Domain</x:v>
      </x:c>
      <x:c r="F21" s="23" t="str">
        <x:v>Reject an array-valued password as the wrong JSON type</x:v>
      </x:c>
      <x:c r="G21" s="23" t="str">
        <x:v>Backend is available; generated email does not exist.</x:v>
      </x:c>
      <x:c r="H21" s="23" t="str">
        <x:v>{"name":"Đinh Hoàng Nam","email":"fr01.tc017@example.test","password":["Valid1@a"]}</x:v>
      </x:c>
      <x:c r="I21" s="23" t="str">
        <x:v>1. Set base URL to http://127.0.0.1:3000.
2. Send POST /api/register with Content-Type: application/json.
3. Use body: {"name":"Đinh Hoàng Nam","email":"fr01.tc017@example.test","password":["Valid1@a"]}.
4. Capture status, response headers, and JSON body.</x:v>
      </x:c>
      <x:c r="J21" s="23" t="str">
        <x:v>SPECIFICATION GAP — HUMAN DECISION REQUIRED: invalid-request HTTP status is not defined.</x:v>
      </x:c>
      <x:c r="K21" s="23" t="str">
        <x:v>SPECIFICATION GAP — HUMAN DECISION REQUIRED: reject the request without creating/changing an account; exact error body is not defined.</x:v>
      </x:c>
      <x:c r="L21" s="23" t="str">
        <x:v>SPECIFICATION GAP — HUMAN DECISION REQUIRED: error response properties, types, and additionalProperties policy are not defined.</x:v>
      </x:c>
      <x:c r="M21" s="23" t="str">
        <x:v>TO DO HUMAN</x:v>
      </x:c>
      <x:c r="N21" s="23" t="str">
        <x:v>Pending human audit. Confirm matrix traceability and approve every SPECIFICATION GAP oracle before execution.</x:v>
      </x:c>
      <x:c r="O21" s="23" t="str"/>
      <x:c r="P21" s="23" t="str"/>
      <x:c r="Q21" s="23" t="str">
        <x:v>FR01-API-TC017 | Reject an array-valued password as the wrong JSON type</x:v>
      </x:c>
      <x:c r="R21" s="23" t="str"/>
      <x:c r="S21" s="23" t="str">
        <x:v>NOT RUN</x:v>
      </x:c>
      <x:c r="T21" s="23" t="str"/>
      <x:c r="U21" s="23" t="str">
        <x:v>Trace: Domain Matrix—password wrong-type partition.</x:v>
      </x:c>
    </x:row>
    <x:row r="22" ht="96" customHeight="1">
      <x:c r="A22" s="52" t="str">
        <x:v>FR01-API-TC018</x:v>
      </x:c>
      <x:c r="B22" s="23" t="str">
        <x:v>FR-01</x:v>
      </x:c>
      <x:c r="C22" s="23" t="str">
        <x:v>POST /api/register</x:v>
      </x:c>
      <x:c r="D22" s="23" t="str">
        <x:v>AI</x:v>
      </x:c>
      <x:c r="E22" s="54" t="str">
        <x:v>Domain</x:v>
      </x:c>
      <x:c r="F22" s="23" t="str">
        <x:v>Characterize empty-string handling for the required name field</x:v>
      </x:c>
      <x:c r="G22" s="23" t="str">
        <x:v>Backend is available; generated email does not exist.</x:v>
      </x:c>
      <x:c r="H22" s="23" t="str">
        <x:v>{"name":"","email":"fr01.tc018@example.test","password":"Valid1@a"}</x:v>
      </x:c>
      <x:c r="I22" s="23" t="str">
        <x:v>1. Set base URL to http://127.0.0.1:3000.
2. Send POST /api/register with Content-Type: application/json.
3. Use body: {"name":"","email":"fr01.tc018@example.test","password":"Valid1@a"}.
4. Capture status, response headers, and JSON body.</x:v>
      </x:c>
      <x:c r="J22" s="23" t="str">
        <x:v>SPECIFICATION GAP — HUMAN DECISION REQUIRED: invalid-request HTTP status is not defined.</x:v>
      </x:c>
      <x:c r="K22" s="23" t="str">
        <x:v>SPECIFICATION GAP — HUMAN DECISION REQUIRED: reject the request without creating/changing an account; exact error body is not defined.</x:v>
      </x:c>
      <x:c r="L22" s="23" t="str">
        <x:v>SPECIFICATION GAP — HUMAN DECISION REQUIRED: error response properties, types, and additionalProperties policy are not defined.</x:v>
      </x:c>
      <x:c r="M22" s="23" t="str">
        <x:v>TO DO HUMAN</x:v>
      </x:c>
      <x:c r="N22" s="23" t="str">
        <x:v>Pending human audit. Confirm matrix traceability and approve every SPECIFICATION GAP oracle before execution.</x:v>
      </x:c>
      <x:c r="O22" s="23" t="str"/>
      <x:c r="P22" s="23" t="str"/>
      <x:c r="Q22" s="23" t="str">
        <x:v>FR01-API-TC018 | Characterize empty-string handling for the required name field</x:v>
      </x:c>
      <x:c r="R22" s="23" t="str"/>
      <x:c r="S22" s="23" t="str">
        <x:v>NOT RUN</x:v>
      </x:c>
      <x:c r="T22" s="23" t="str"/>
      <x:c r="U22" s="23" t="str">
        <x:v>Trace: Domain Matrix—name empty partition; minimum name length is a SPECIFICATION GAP.</x:v>
      </x:c>
    </x:row>
    <x:row r="23" ht="96" customHeight="1">
      <x:c r="A23" s="52" t="str">
        <x:v>FR01-API-TC019</x:v>
      </x:c>
      <x:c r="B23" s="23" t="str">
        <x:v>FR-01</x:v>
      </x:c>
      <x:c r="C23" s="23" t="str">
        <x:v>POST /api/register</x:v>
      </x:c>
      <x:c r="D23" s="23" t="str">
        <x:v>AI</x:v>
      </x:c>
      <x:c r="E23" s="54" t="str">
        <x:v>Domain</x:v>
      </x:c>
      <x:c r="F23" s="23" t="str">
        <x:v>Reject an empty-string email value</x:v>
      </x:c>
      <x:c r="G23" s="23" t="str">
        <x:v>Backend is available; empty email cannot identify an existing account.</x:v>
      </x:c>
      <x:c r="H23" s="23" t="str">
        <x:v>{"name":"Đinh Hoàng Nam","email":"","password":"Valid1@a"}</x:v>
      </x:c>
      <x:c r="I23" s="23" t="str">
        <x:v>1. Set base URL to http://127.0.0.1:3000.
2. Send POST /api/register with Content-Type: application/json.
3. Use body: {"name":"Đinh Hoàng Nam","email":"","password":"Valid1@a"}.
4. Capture status, response headers, and JSON body.</x:v>
      </x:c>
      <x:c r="J23" s="23" t="str">
        <x:v>SPECIFICATION GAP — HUMAN DECISION REQUIRED: invalid-request HTTP status is not defined.</x:v>
      </x:c>
      <x:c r="K23" s="23" t="str">
        <x:v>SPECIFICATION GAP — HUMAN DECISION REQUIRED: reject the request without creating/changing an account; exact error body is not defined.</x:v>
      </x:c>
      <x:c r="L23" s="23" t="str">
        <x:v>SPECIFICATION GAP — HUMAN DECISION REQUIRED: error response properties, types, and additionalProperties policy are not defined.</x:v>
      </x:c>
      <x:c r="M23" s="23" t="str">
        <x:v>TO DO HUMAN</x:v>
      </x:c>
      <x:c r="N23" s="23" t="str">
        <x:v>Pending human audit. Confirm matrix traceability and approve every SPECIFICATION GAP oracle before execution.</x:v>
      </x:c>
      <x:c r="O23" s="23" t="str"/>
      <x:c r="P23" s="23" t="str"/>
      <x:c r="Q23" s="23" t="str">
        <x:v>FR01-API-TC019 | Reject an empty-string email value</x:v>
      </x:c>
      <x:c r="R23" s="23" t="str"/>
      <x:c r="S23" s="23" t="str">
        <x:v>NOT RUN</x:v>
      </x:c>
      <x:c r="T23" s="23" t="str"/>
      <x:c r="U23" s="23" t="str">
        <x:v>Trace: Domain Matrix—email empty partition.</x:v>
      </x:c>
    </x:row>
    <x:row r="24" ht="96" customHeight="1">
      <x:c r="A24" s="52" t="str">
        <x:v>FR01-API-TC020</x:v>
      </x:c>
      <x:c r="B24" s="23" t="str">
        <x:v>FR-01</x:v>
      </x:c>
      <x:c r="C24" s="23" t="str">
        <x:v>POST /api/register</x:v>
      </x:c>
      <x:c r="D24" s="23" t="str">
        <x:v>AI</x:v>
      </x:c>
      <x:c r="E24" s="54" t="str">
        <x:v>Domain</x:v>
      </x:c>
      <x:c r="F24" s="23" t="str">
        <x:v>Characterize UTF-8 Vietnamese name acceptance while preserving the exact Unicode value</x:v>
      </x:c>
      <x:c r="G24" s="23" t="str">
        <x:v>Backend is available; generated email does not exist; client sends UTF-8 JSON.</x:v>
      </x:c>
      <x:c r="H24" s="23" t="str">
        <x:v>{"name":"Đinh Hoàng Nam – Nguyễn Ái Quốc","email":"fr01.tc020@example.test","password":"Valid1@a"}</x:v>
      </x:c>
      <x:c r="I24" s="23" t="str">
        <x:v>1. Set base URL to http://127.0.0.1:3000.
2. Send POST /api/register with Content-Type: application/json.
3. Use body: {"name":"Đinh Hoàng Nam – Nguyễn Ái Quốc","email":"fr01.tc020@example.test","password":"Valid1@a"}.
4. Capture status, response headers, and JSON body.
5. If accepted, verify the stored/displayed name through a supporting API or database without normalization loss.</x:v>
      </x:c>
      <x:c r="J24" s="23" t="str">
        <x:v>SPECIFICATION GAP — HUMAN DECISION REQUIRED: invalid-request HTTP status is not defined.</x:v>
      </x:c>
      <x:c r="K24" s="23" t="str">
        <x:v>SPECIFICATION GAP — HUMAN DECISION REQUIRED: Unicode name acceptance and normalization are not defined; if accepted, success should follow the documented success object.</x:v>
      </x:c>
      <x:c r="L24" s="23" t="str">
        <x:v>SPECIFICATION GAP — HUMAN DECISION REQUIRED: name encoding/normalization and response schema for this partition are not defined.</x:v>
      </x:c>
      <x:c r="M24" s="23" t="str">
        <x:v>TO DO HUMAN</x:v>
      </x:c>
      <x:c r="N24" s="23" t="str">
        <x:v>Pending human audit. Confirm matrix traceability and approve every SPECIFICATION GAP oracle before execution.</x:v>
      </x:c>
      <x:c r="O24" s="23" t="str"/>
      <x:c r="P24" s="23" t="str"/>
      <x:c r="Q24" s="23" t="str">
        <x:v>FR01-API-TC020 | Characterize UTF-8 Vietnamese name acceptance while preserving the exact Unicode value</x:v>
      </x:c>
      <x:c r="R24" s="23" t="str"/>
      <x:c r="S24" s="23" t="str">
        <x:v>NOT RUN</x:v>
      </x:c>
      <x:c r="T24" s="23" t="str"/>
      <x:c r="U24" s="23" t="str">
        <x:v>Trace: Domain Matrix—encoding/Unicode partition and unspecified name domain.</x:v>
      </x:c>
    </x:row>
    <x:row r="25" ht="96" customHeight="1">
      <x:c r="A25" s="52" t="str">
        <x:v>FR01-API-TC021</x:v>
      </x:c>
      <x:c r="B25" s="23" t="str">
        <x:v>FR-01</x:v>
      </x:c>
      <x:c r="C25" s="23" t="str">
        <x:v>POST /api/register</x:v>
      </x:c>
      <x:c r="D25" s="23" t="str">
        <x:v>AI</x:v>
      </x:c>
      <x:c r="E25" s="55" t="str">
        <x:v>State</x:v>
      </x:c>
      <x:c r="F25" s="23" t="str">
        <x:v>Transition from email-absent state S0 to registered state S1</x:v>
      </x:c>
      <x:c r="G25" s="23" t="str">
        <x:v>S0: generated email is confirmed absent using database inspection or a failed supporting login; cleanup can remove the generated account after review.</x:v>
      </x:c>
      <x:c r="H25" s="23" t="str">
        <x:v>{"name":"Đinh Hoàng Nam","email":"fr01.tc021@example.test","password":"Valid1@a"}</x:v>
      </x:c>
      <x:c r="I25" s="23" t="str">
        <x:v>1. Set base URL to http://127.0.0.1:3000.
2. Send POST /api/register with Content-Type: application/json.
3. Use body: {"name":"Đinh Hoàng Nam","email":"fr01.tc021@example.test","password":"Valid1@a"}.
4. Capture status, response headers, and JSON body.
5. Verify S1 using a successful supporting login, GET /api/me with a login token if available, or database inspection.</x:v>
      </x:c>
      <x:c r="J25" s="23" t="str">
        <x:v>200</x:v>
      </x:c>
      <x:c r="K25" s="23" t="str">
        <x:v>JSON object reporting successful registration; message must equal "User registered successfully"; id is generated and must not be assumed to equal the example value 1.</x:v>
      </x:c>
      <x:c r="L25" s="23" t="str">
        <x:v>Documented example object: {"message":"User registered successfully","id":&lt;generated&gt;}. Formal required-property list, id type, optional properties, and additionalProperties policy are SPECIFICATION GAP.</x:v>
      </x:c>
      <x:c r="M25" s="23" t="str">
        <x:v>TO DO HUMAN</x:v>
      </x:c>
      <x:c r="N25" s="23" t="str">
        <x:v>Pending human audit. Confirm matrix traceability and approve every SPECIFICATION GAP oracle before execution.</x:v>
      </x:c>
      <x:c r="O25" s="23" t="str"/>
      <x:c r="P25" s="23" t="str"/>
      <x:c r="Q25" s="23" t="str">
        <x:v>FR01-API-TC021 | Transition from email-absent state S0 to registered state S1</x:v>
      </x:c>
      <x:c r="R25" s="23" t="str"/>
      <x:c r="S25" s="23" t="str">
        <x:v>NOT RUN</x:v>
      </x:c>
      <x:c r="T25" s="23" t="str"/>
      <x:c r="U25" s="23" t="str">
        <x:v>Trace: State Matrix—S0 + valid registration → S1. Supporting verification APIs are not selected target APIs.</x:v>
      </x:c>
    </x:row>
    <x:row r="26" ht="96" customHeight="1">
      <x:c r="A26" s="52" t="str">
        <x:v>FR01-API-TC022</x:v>
      </x:c>
      <x:c r="B26" s="23" t="str">
        <x:v>FR-01</x:v>
      </x:c>
      <x:c r="C26" s="23" t="str">
        <x:v>POST /api/register</x:v>
      </x:c>
      <x:c r="D26" s="23" t="str">
        <x:v>AI</x:v>
      </x:c>
      <x:c r="E26" s="55" t="str">
        <x:v>State</x:v>
      </x:c>
      <x:c r="F26" s="23" t="str">
        <x:v>Reject registration when the email already exists and preserve state S1</x:v>
      </x:c>
      <x:c r="G26" s="23" t="str">
        <x:v>S1: pre-create account fr01.tc022@example.test using setup registration or fixture; record its original identity; do not count setup as a selected test case.</x:v>
      </x:c>
      <x:c r="H26" s="23" t="str">
        <x:v>{"name":"Duplicate Attempt","email":"fr01.tc022@example.test","password":"Other1@a"}</x:v>
      </x:c>
      <x:c r="I26" s="23" t="str">
        <x:v>1. Set base URL to http://127.0.0.1:3000.
2. Send POST /api/register with Content-Type: application/json.
3. Use body: {"name":"Duplicate Attempt","email":"fr01.tc022@example.test","password":"Other1@a"}.
4. Capture status, response headers, and JSON body.
5. Verify the original account still exists and its credentials/data were not replaced.</x:v>
      </x:c>
      <x:c r="J26" s="23" t="str">
        <x:v>SPECIFICATION GAP — HUMAN DECISION REQUIRED: invalid-request HTTP status is not defined.</x:v>
      </x:c>
      <x:c r="K26" s="23" t="str">
        <x:v>Reject duplicate email; do not create a second account and do not mutate the existing account. Exact error body is a SPECIFICATION GAP.</x:v>
      </x:c>
      <x:c r="L26" s="23" t="str">
        <x:v>SPECIFICATION GAP — HUMAN DECISION REQUIRED: error response properties, types, and additionalProperties policy are not defined.</x:v>
      </x:c>
      <x:c r="M26" s="23" t="str">
        <x:v>TO DO HUMAN</x:v>
      </x:c>
      <x:c r="N26" s="23" t="str">
        <x:v>Pending human audit. Confirm matrix traceability and approve every SPECIFICATION GAP oracle before execution.</x:v>
      </x:c>
      <x:c r="O26" s="23" t="str"/>
      <x:c r="P26" s="23" t="str"/>
      <x:c r="Q26" s="23" t="str">
        <x:v>FR01-API-TC022 | Reject registration when the email already exists and preserve state S1</x:v>
      </x:c>
      <x:c r="R26" s="23" t="str"/>
      <x:c r="S26" s="23" t="str">
        <x:v>NOT RUN</x:v>
      </x:c>
      <x:c r="T26" s="23" t="str"/>
      <x:c r="U26" s="23" t="str">
        <x:v>Trace: State Matrix—S1 + duplicate registration → S1; uniqueness business rule.</x:v>
      </x:c>
    </x:row>
    <x:row r="27" ht="96" customHeight="1">
      <x:c r="A27" s="52" t="str">
        <x:v>FR01-API-TC023</x:v>
      </x:c>
      <x:c r="B27" s="23" t="str">
        <x:v>FR-01</x:v>
      </x:c>
      <x:c r="C27" s="23" t="str">
        <x:v>POST /api/register</x:v>
      </x:c>
      <x:c r="D27" s="23" t="str">
        <x:v>AI</x:v>
      </x:c>
      <x:c r="E27" s="55" t="str">
        <x:v>State</x:v>
      </x:c>
      <x:c r="F27" s="23" t="str">
        <x:v>Preserve email-absent state S0 after invalid email syntax</x:v>
      </x:c>
      <x:c r="G27" s="23" t="str">
        <x:v>S0: no account exists for the test identity; database or supporting login is available for verification.</x:v>
      </x:c>
      <x:c r="H27" s="23" t="str">
        <x:v>{"name":"Đinh Hoàng Nam","email":"invalid-email","password":"Valid1@a"}</x:v>
      </x:c>
      <x:c r="I27" s="23" t="str">
        <x:v>1. Set base URL to http://127.0.0.1:3000.
2. Send POST /api/register with Content-Type: application/json.
3. Use body: {"name":"Đinh Hoàng Nam","email":"invalid-email","password":"Valid1@a"}.
4. Capture status, response headers, and JSON body.
5. Verify no account was created.</x:v>
      </x:c>
      <x:c r="J27" s="23" t="str">
        <x:v>SPECIFICATION GAP — HUMAN DECISION REQUIRED: invalid-request HTTP status is not defined.</x:v>
      </x:c>
      <x:c r="K27" s="23" t="str">
        <x:v>SPECIFICATION GAP — HUMAN DECISION REQUIRED: reject the request without creating/changing an account; exact error body is not defined.</x:v>
      </x:c>
      <x:c r="L27" s="23" t="str">
        <x:v>SPECIFICATION GAP — HUMAN DECISION REQUIRED: error response properties, types, and additionalProperties policy are not defined.</x:v>
      </x:c>
      <x:c r="M27" s="23" t="str">
        <x:v>TO DO HUMAN</x:v>
      </x:c>
      <x:c r="N27" s="23" t="str">
        <x:v>Pending human audit. Confirm matrix traceability and approve every SPECIFICATION GAP oracle before execution.</x:v>
      </x:c>
      <x:c r="O27" s="23" t="str"/>
      <x:c r="P27" s="23" t="str"/>
      <x:c r="Q27" s="23" t="str">
        <x:v>FR01-API-TC023 | Preserve email-absent state S0 after invalid email syntax</x:v>
      </x:c>
      <x:c r="R27" s="23" t="str"/>
      <x:c r="S27" s="23" t="str">
        <x:v>NOT RUN</x:v>
      </x:c>
      <x:c r="T27" s="23" t="str"/>
      <x:c r="U27" s="23" t="str">
        <x:v>Trace: State Matrix—invalid transition must preserve S0; Domain Matrix—invalid email.</x:v>
      </x:c>
    </x:row>
    <x:row r="28" ht="96" customHeight="1">
      <x:c r="A28" s="52" t="str">
        <x:v>FR01-API-TC024</x:v>
      </x:c>
      <x:c r="B28" s="23" t="str">
        <x:v>FR-01</x:v>
      </x:c>
      <x:c r="C28" s="23" t="str">
        <x:v>POST /api/register</x:v>
      </x:c>
      <x:c r="D28" s="23" t="str">
        <x:v>AI</x:v>
      </x:c>
      <x:c r="E28" s="55" t="str">
        <x:v>State</x:v>
      </x:c>
      <x:c r="F28" s="23" t="str">
        <x:v>Preserve email-absent state S0 after weak-password rejection</x:v>
      </x:c>
      <x:c r="G28" s="23" t="str">
        <x:v>S0: generated email is absent; database or supporting login is available for verification.</x:v>
      </x:c>
      <x:c r="H28" s="23" t="str">
        <x:v>{"name":"Đinh Hoàng Nam","email":"fr01.tc024@example.test","password":"weak"}</x:v>
      </x:c>
      <x:c r="I28" s="23" t="str">
        <x:v>1. Set base URL to http://127.0.0.1:3000.
2. Send POST /api/register with Content-Type: application/json.
3. Use body: {"name":"Đinh Hoàng Nam","email":"fr01.tc024@example.test","password":"weak"}.
4. Capture status, response headers, and JSON body.
5. Verify the generated email remains absent.</x:v>
      </x:c>
      <x:c r="J28" s="23" t="str">
        <x:v>SPECIFICATION GAP — HUMAN DECISION REQUIRED: invalid-request HTTP status is not defined.</x:v>
      </x:c>
      <x:c r="K28" s="23" t="str">
        <x:v>SPECIFICATION GAP — HUMAN DECISION REQUIRED: reject the request without creating/changing an account; exact error body is not defined.</x:v>
      </x:c>
      <x:c r="L28" s="23" t="str">
        <x:v>SPECIFICATION GAP — HUMAN DECISION REQUIRED: error response properties, types, and additionalProperties policy are not defined.</x:v>
      </x:c>
      <x:c r="M28" s="23" t="str">
        <x:v>TO DO HUMAN</x:v>
      </x:c>
      <x:c r="N28" s="23" t="str">
        <x:v>Pending human audit. Confirm matrix traceability and approve every SPECIFICATION GAP oracle before execution.</x:v>
      </x:c>
      <x:c r="O28" s="23" t="str"/>
      <x:c r="P28" s="23" t="str"/>
      <x:c r="Q28" s="23" t="str">
        <x:v>FR01-API-TC024 | Preserve email-absent state S0 after weak-password rejection</x:v>
      </x:c>
      <x:c r="R28" s="23" t="str"/>
      <x:c r="S28" s="23" t="str">
        <x:v>NOT RUN</x:v>
      </x:c>
      <x:c r="T28" s="23" t="str"/>
      <x:c r="U28" s="23" t="str">
        <x:v>Trace: State Matrix—weak password must not cause S0 → S1.</x:v>
      </x:c>
    </x:row>
    <x:row r="29" ht="96" customHeight="1">
      <x:c r="A29" s="52" t="str">
        <x:v>FR01-API-TC025</x:v>
      </x:c>
      <x:c r="B29" s="23" t="str">
        <x:v>FR-01</x:v>
      </x:c>
      <x:c r="C29" s="23" t="str">
        <x:v>POST /api/register</x:v>
      </x:c>
      <x:c r="D29" s="23" t="str">
        <x:v>AI</x:v>
      </x:c>
      <x:c r="E29" s="55" t="str">
        <x:v>State</x:v>
      </x:c>
      <x:c r="F29" s="23" t="str">
        <x:v>Characterize password-confirmation mismatch without assuming an undocumented API field</x:v>
      </x:c>
      <x:c r="G29" s="23" t="str">
        <x:v>S0: generated email is absent. Human reviewer must first decide the API transport/name for the requirements-level confirmation value.</x:v>
      </x:c>
      <x:c r="H29" s="23" t="str">
        <x:v>{"name":"Đinh Hoàng Nam","email":"fr01.tc025@example.test","password":"Valid1@a","passwordConfirmation":"Different1@"}</x:v>
      </x:c>
      <x:c r="I29" s="23" t="str">
        <x:v>1. Set base URL to http://127.0.0.1:3000.
2. Send POST /api/register with Content-Type: application/json.
3. Use body: {"name":"Đinh Hoàng Nam","email":"fr01.tc025@example.test","password":"Valid1@a","passwordConfirmation":"Different1@"}.
4. Capture status, response headers, and JSON body.
5. Do not execute until the human reviewer resolves whether passwordConfirmation is part of the API contract; then verify state remains S0 if mismatch is enforceable.</x:v>
      </x:c>
      <x:c r="J29" s="23" t="str">
        <x:v>SPECIFICATION GAP — HUMAN DECISION REQUIRED: invalid-request HTTP status is not defined.</x:v>
      </x:c>
      <x:c r="K29" s="23" t="str">
        <x:v>SPECIFICATION GAP — HUMAN DECISION REQUIRED: requirements demand confirmation but the API specification does not define its field name or transport; no expected transition may be finalized yet.</x:v>
      </x:c>
      <x:c r="L29" s="23" t="str">
        <x:v>SPECIFICATION GAP — HUMAN DECISION REQUIRED: confirmation-related error schema is undefined.</x:v>
      </x:c>
      <x:c r="M29" s="23" t="str">
        <x:v>TO DO HUMAN</x:v>
      </x:c>
      <x:c r="N29" s="23" t="str">
        <x:v>Pending human audit. Confirm matrix traceability and approve every SPECIFICATION GAP oracle before execution.</x:v>
      </x:c>
      <x:c r="O29" s="23" t="str"/>
      <x:c r="P29" s="23" t="str"/>
      <x:c r="Q29" s="23" t="str">
        <x:v>FR01-API-TC025 | Characterize password-confirmation mismatch without assuming an undocumented API field</x:v>
      </x:c>
      <x:c r="R29" s="23" t="str"/>
      <x:c r="S29" s="23" t="str">
        <x:v>NOT RUN</x:v>
      </x:c>
      <x:c r="T29" s="23" t="str"/>
      <x:c r="U29" s="23" t="str">
        <x:v>Trace: Contract/Domain/State Matrices—password confirmation contradiction; deliberately blocked for human oracle resolution.</x:v>
      </x:c>
    </x:row>
    <x:row r="30" ht="96" customHeight="1">
      <x:c r="A30" s="52" t="str">
        <x:v>FR01-API-TC026</x:v>
      </x:c>
      <x:c r="B30" s="23" t="str">
        <x:v>FR-01</x:v>
      </x:c>
      <x:c r="C30" s="23" t="str">
        <x:v>POST /api/register</x:v>
      </x:c>
      <x:c r="D30" s="23" t="str">
        <x:v>AI</x:v>
      </x:c>
      <x:c r="E30" s="55" t="str">
        <x:v>State</x:v>
      </x:c>
      <x:c r="F30" s="23" t="str">
        <x:v>Preserve S0 when a mandatory value is omitted from an otherwise valid request</x:v>
      </x:c>
      <x:c r="G30" s="23" t="str">
        <x:v>S0: generated email is absent; database or supporting login is available for verification.</x:v>
      </x:c>
      <x:c r="H30" s="23" t="str">
        <x:v>{"name":"Đinh Hoàng Nam","email":"fr01.tc026@example.test"}</x:v>
      </x:c>
      <x:c r="I30" s="23" t="str">
        <x:v>1. Set base URL to http://127.0.0.1:3000.
2. Send POST /api/register with Content-Type: application/json.
3. Use body: {"name":"Đinh Hoàng Nam","email":"fr01.tc026@example.test"}.
4. Capture status, response headers, and JSON body.
5. Verify the generated email remains absent.</x:v>
      </x:c>
      <x:c r="J30" s="23" t="str">
        <x:v>SPECIFICATION GAP — HUMAN DECISION REQUIRED: invalid-request HTTP status is not defined.</x:v>
      </x:c>
      <x:c r="K30" s="23" t="str">
        <x:v>SPECIFICATION GAP — HUMAN DECISION REQUIRED: reject the request without creating/changing an account; exact error body is not defined.</x:v>
      </x:c>
      <x:c r="L30" s="23" t="str">
        <x:v>SPECIFICATION GAP — HUMAN DECISION REQUIRED: error response properties, types, and additionalProperties policy are not defined.</x:v>
      </x:c>
      <x:c r="M30" s="23" t="str">
        <x:v>TO DO HUMAN</x:v>
      </x:c>
      <x:c r="N30" s="23" t="str">
        <x:v>Pending human audit. Confirm matrix traceability and approve every SPECIFICATION GAP oracle before execution.</x:v>
      </x:c>
      <x:c r="O30" s="23" t="str"/>
      <x:c r="P30" s="23" t="str"/>
      <x:c r="Q30" s="23" t="str">
        <x:v>FR01-API-TC026 | Preserve S0 when a mandatory value is omitted from an otherwise valid request</x:v>
      </x:c>
      <x:c r="R30" s="23" t="str"/>
      <x:c r="S30" s="23" t="str">
        <x:v>NOT RUN</x:v>
      </x:c>
      <x:c r="T30" s="23" t="str"/>
      <x:c r="U30" s="23" t="str">
        <x:v>Trace: State Matrix—invalid/missing-field request cannot create S1; Contract Matrix—mandatory password.</x:v>
      </x:c>
    </x:row>
    <x:row r="31" ht="96" customHeight="1">
      <x:c r="A31" s="52" t="str">
        <x:v>FR01-API-TC027</x:v>
      </x:c>
      <x:c r="B31" s="23" t="str">
        <x:v>FR-01</x:v>
      </x:c>
      <x:c r="C31" s="23" t="str">
        <x:v>POST /api/register</x:v>
      </x:c>
      <x:c r="D31" s="23" t="str">
        <x:v>AI</x:v>
      </x:c>
      <x:c r="E31" s="56" t="str">
        <x:v>Security</x:v>
      </x:c>
      <x:c r="F31" s="23" t="str">
        <x:v>Probe SQL injection handling in the name field without treating implementation behavior as the oracle</x:v>
      </x:c>
      <x:c r="G31" s="23" t="str">
        <x:v>Backend is available; generated email does not exist; database integrity can be checked.</x:v>
      </x:c>
      <x:c r="H31" s="23" t="str">
        <x:v>{"name":"Nam'); DROP TABLE users;--","email":"fr01.tc027@example.test","password":"Valid1@a"}</x:v>
      </x:c>
      <x:c r="I31" s="23" t="str">
        <x:v>1. Set base URL to http://127.0.0.1:3000.
2. Send POST /api/register with Content-Type: application/json.
3. Use body: {"name":"Nam'); DROP TABLE users;--","email":"fr01.tc027@example.test","password":"Valid1@a"}.
4. Capture status, response headers, and JSON body.
5. Verify users storage remains intact and no unintended query/data change occurs.</x:v>
      </x:c>
      <x:c r="J31" s="23" t="str">
        <x:v>SPECIFICATION GAP — HUMAN DECISION REQUIRED: invalid-request HTTP status is not defined.</x:v>
      </x:c>
      <x:c r="K31" s="23" t="str">
        <x:v>No SQL command may execute and no unintended database change may occur. Acceptance/rejection of this name is a SPECIFICATION GAP; if accepted, use the documented success object.</x:v>
      </x:c>
      <x:c r="L31" s="23" t="str">
        <x:v>Response schema follows the selected accepted/rejected branch; branch and error schema are SPECIFICATION GAP.</x:v>
      </x:c>
      <x:c r="M31" s="23" t="str">
        <x:v>TO DO HUMAN</x:v>
      </x:c>
      <x:c r="N31" s="23" t="str">
        <x:v>Pending human audit. Confirm matrix traceability and approve every SPECIFICATION GAP oracle before execution.</x:v>
      </x:c>
      <x:c r="O31" s="23" t="str"/>
      <x:c r="P31" s="23" t="str"/>
      <x:c r="Q31" s="23" t="str">
        <x:v>FR01-API-TC027 | Probe SQL injection handling in the name field without treating implementation behavior as the oracle</x:v>
      </x:c>
      <x:c r="R31" s="23" t="str"/>
      <x:c r="S31" s="23" t="str">
        <x:v>NOT RUN</x:v>
      </x:c>
      <x:c r="T31" s="23" t="str"/>
      <x:c r="U31" s="23" t="str">
        <x:v>Trace: Security Matrix—SEC-05 SQL injection; Domain Matrix—name character domain unspecified.</x:v>
      </x:c>
    </x:row>
    <x:row r="32" ht="96" customHeight="1">
      <x:c r="A32" s="52" t="str">
        <x:v>FR01-API-TC028</x:v>
      </x:c>
      <x:c r="B32" s="23" t="str">
        <x:v>FR-01</x:v>
      </x:c>
      <x:c r="C32" s="23" t="str">
        <x:v>POST /api/register</x:v>
      </x:c>
      <x:c r="D32" s="23" t="str">
        <x:v>AI</x:v>
      </x:c>
      <x:c r="E32" s="56" t="str">
        <x:v>Security</x:v>
      </x:c>
      <x:c r="F32" s="23" t="str">
        <x:v>Accept a standards-compliant password containing SQL-like text as opaque credential data</x:v>
      </x:c>
      <x:c r="G32" s="23" t="str">
        <x:v>Backend is available; generated email does not exist; storage/log inspection is permitted for SEC-01 review.</x:v>
      </x:c>
      <x:c r="H32" s="23" t="str">
        <x:v>{"name":"Đinh Hoàng Nam","email":"fr01.tc028@example.test","password":"Aa1@'OR1=1--"}</x:v>
      </x:c>
      <x:c r="I32" s="23" t="str">
        <x:v>1. Set base URL to http://127.0.0.1:3000.
2. Send POST /api/register with Content-Type: application/json.
3. Use body: {"name":"Đinh Hoàng Nam","email":"fr01.tc028@example.test","password":"Aa1@'OR1=1--"}.
4. Capture status, response headers, and JSON body.
5. Verify no SQL effect; inspect approved persistence/log evidence to confirm plaintext password is not exposed.</x:v>
      </x:c>
      <x:c r="J32" s="23" t="str">
        <x:v>200</x:v>
      </x:c>
      <x:c r="K32" s="23" t="str">
        <x:v>JSON object reporting successful registration; message must equal "User registered successfully"; id is generated and must not be assumed to equal the example value 1.</x:v>
      </x:c>
      <x:c r="L32" s="23" t="str">
        <x:v>Documented example object: {"message":"User registered successfully","id":&lt;generated&gt;}. Formal required-property list, id type, optional properties, and additionalProperties policy are SPECIFICATION GAP.</x:v>
      </x:c>
      <x:c r="M32" s="23" t="str">
        <x:v>TO DO HUMAN</x:v>
      </x:c>
      <x:c r="N32" s="23" t="str">
        <x:v>Pending human audit. Confirm matrix traceability and approve every SPECIFICATION GAP oracle before execution.</x:v>
      </x:c>
      <x:c r="O32" s="23" t="str"/>
      <x:c r="P32" s="23" t="str"/>
      <x:c r="Q32" s="23" t="str">
        <x:v>FR01-API-TC028 | Accept a standards-compliant password containing SQL-like text as opaque credential data</x:v>
      </x:c>
      <x:c r="R32" s="23" t="str"/>
      <x:c r="S32" s="23" t="str">
        <x:v>NOT RUN</x:v>
      </x:c>
      <x:c r="T32" s="23" t="str"/>
      <x:c r="U32" s="23" t="str">
        <x:v>Trace: Security Matrix—SEC-01 password protection and SEC-05 SQL injection; password meets documented composition/minimum.</x:v>
      </x:c>
    </x:row>
    <x:row r="33" ht="96" customHeight="1">
      <x:c r="A33" s="52" t="str">
        <x:v>FR01-API-TC029</x:v>
      </x:c>
      <x:c r="B33" s="23" t="str">
        <x:v>FR-01</x:v>
      </x:c>
      <x:c r="C33" s="23" t="str">
        <x:v>POST /api/register</x:v>
      </x:c>
      <x:c r="D33" s="23" t="str">
        <x:v>AI</x:v>
      </x:c>
      <x:c r="E33" s="56" t="str">
        <x:v>Security</x:v>
      </x:c>
      <x:c r="F33" s="23" t="str">
        <x:v>Reject a SQL-injection-shaped value that is not a valid email and preserve database integrity</x:v>
      </x:c>
      <x:c r="G33" s="23" t="str">
        <x:v>Backend is available; no account exists for the payload; database integrity can be checked.</x:v>
      </x:c>
      <x:c r="H33" s="23" t="str">
        <x:v>{"name":"Đinh Hoàng Nam","email":"' OR 1=1--","password":"Valid1@a"}</x:v>
      </x:c>
      <x:c r="I33" s="23" t="str">
        <x:v>1. Set base URL to http://127.0.0.1:3000.
2. Send POST /api/register with Content-Type: application/json.
3. Use body: {"name":"Đinh Hoàng Nam","email":"' OR 1=1--","password":"Valid1@a"}.
4. Capture status, response headers, and JSON body.
5. Verify no authentication bypass, mass query, account creation, or database mutation occurs.</x:v>
      </x:c>
      <x:c r="J33" s="23" t="str">
        <x:v>SPECIFICATION GAP — HUMAN DECISION REQUIRED: invalid-request HTTP status is not defined.</x:v>
      </x:c>
      <x:c r="K33" s="23" t="str">
        <x:v>SPECIFICATION GAP — HUMAN DECISION REQUIRED: reject the request without creating/changing an account; exact error body is not defined.</x:v>
      </x:c>
      <x:c r="L33" s="23" t="str">
        <x:v>SPECIFICATION GAP — HUMAN DECISION REQUIRED: error response properties, types, and additionalProperties policy are not defined.</x:v>
      </x:c>
      <x:c r="M33" s="23" t="str">
        <x:v>TO DO HUMAN</x:v>
      </x:c>
      <x:c r="N33" s="23" t="str">
        <x:v>Pending human audit. Confirm matrix traceability and approve every SPECIFICATION GAP oracle before execution.</x:v>
      </x:c>
      <x:c r="O33" s="23" t="str"/>
      <x:c r="P33" s="23" t="str"/>
      <x:c r="Q33" s="23" t="str">
        <x:v>FR01-API-TC029 | Reject a SQL-injection-shaped value that is not a valid email and preserve database integrity</x:v>
      </x:c>
      <x:c r="R33" s="23" t="str"/>
      <x:c r="S33" s="23" t="str">
        <x:v>NOT RUN</x:v>
      </x:c>
      <x:c r="T33" s="23" t="str"/>
      <x:c r="U33" s="23" t="str">
        <x:v>Trace: Security Matrix—SEC-05 SQL injection; Domain Matrix—invalid email.</x:v>
      </x:c>
    </x:row>
    <x:row r="34" ht="96" customHeight="1">
      <x:c r="A34" s="52" t="str">
        <x:v>FR01-API-TC030</x:v>
      </x:c>
      <x:c r="B34" s="23" t="str">
        <x:v>FR-01</x:v>
      </x:c>
      <x:c r="C34" s="23" t="str">
        <x:v>POST /api/register</x:v>
      </x:c>
      <x:c r="D34" s="23" t="str">
        <x:v>AI</x:v>
      </x:c>
      <x:c r="E34" s="56" t="str">
        <x:v>Security</x:v>
      </x:c>
      <x:c r="F34" s="23" t="str">
        <x:v>Characterize stored-XSS handling for a script-bearing name and define a downstream safety oracle</x:v>
      </x:c>
      <x:c r="G34" s="23" t="str">
        <x:v>Backend is available; generated email does not exist; an approved downstream UI/API exists to observe the stored name safely.</x:v>
      </x:c>
      <x:c r="H34" s="23" t="str">
        <x:v>{"name":"&lt;script&gt;alert(23127430)&lt;/script&gt;","email":"fr01.tc030@example.test","password":"Valid1@a"}</x:v>
      </x:c>
      <x:c r="I34" s="23" t="str">
        <x:v>1. Set base URL to http://127.0.0.1:3000.
2. Send POST /api/register with Content-Type: application/json.
3. Use body: {"name":"&lt;script&gt;alert(23127430)&lt;/script&gt;","email":"fr01.tc030@example.test","password":"Valid1@a"}.
4. Capture status, response headers, and JSON body.
5. If accepted, retrieve/render the name in the downstream consumer and verify it is encoded and never executes.</x:v>
      </x:c>
      <x:c r="J34" s="23" t="str">
        <x:v>SPECIFICATION GAP — HUMAN DECISION REQUIRED: invalid-request HTTP status is not defined.</x:v>
      </x:c>
      <x:c r="K34" s="23" t="str">
        <x:v>No script execution is allowed. Registration acceptance/rejection and sanitization location are SPECIFICATION GAP; if accepted, success follows the documented object.</x:v>
      </x:c>
      <x:c r="L34" s="23" t="str">
        <x:v>Response schema follows the selected branch; error schema and name-sanitization representation are SPECIFICATION GAP.</x:v>
      </x:c>
      <x:c r="M34" s="23" t="str">
        <x:v>TO DO HUMAN</x:v>
      </x:c>
      <x:c r="N34" s="23" t="str">
        <x:v>Pending human audit. Confirm matrix traceability and approve every SPECIFICATION GAP oracle before execution.</x:v>
      </x:c>
      <x:c r="O34" s="23" t="str"/>
      <x:c r="P34" s="23" t="str"/>
      <x:c r="Q34" s="23" t="str">
        <x:v>FR01-API-TC030 | Characterize stored-XSS handling for a script-bearing name and define a downstream safety oracle</x:v>
      </x:c>
      <x:c r="R34" s="23" t="str"/>
      <x:c r="S34" s="23" t="str">
        <x:v>NOT RUN</x:v>
      </x:c>
      <x:c r="T34" s="23" t="str"/>
      <x:c r="U34" s="23" t="str">
        <x:v>Trace: Security Matrix—SEC-04 stored XSS is only partially testable at registration and needs downstream verification.</x:v>
      </x:c>
    </x:row>
    <x:row r="35" ht="96" customHeight="1">
      <x:c r="A35" s="52" t="str">
        <x:v>FR01-API-TC031</x:v>
      </x:c>
      <x:c r="B35" s="23" t="str">
        <x:v>FR-01</x:v>
      </x:c>
      <x:c r="C35" s="23" t="str">
        <x:v>POST /api/register</x:v>
      </x:c>
      <x:c r="D35" s="23" t="str">
        <x:v>AI</x:v>
      </x:c>
      <x:c r="E35" s="56" t="str">
        <x:v>Security</x:v>
      </x:c>
      <x:c r="F35" s="23" t="str">
        <x:v>Probe reflected-XSS safety in an invalid email error path</x:v>
      </x:c>
      <x:c r="G35" s="23" t="str">
        <x:v>Backend is available; no account exists for the payload; response body and any browser rendering can be inspected safely.</x:v>
      </x:c>
      <x:c r="H35" s="23" t="str">
        <x:v>{"name":"Đinh Hoàng Nam","email":"&lt;img src=x onerror=alert(23127430)&gt;","password":"Valid1@a"}</x:v>
      </x:c>
      <x:c r="I35" s="23" t="str">
        <x:v>1. Set base URL to http://127.0.0.1:3000.
2. Send POST /api/register with Content-Type: application/json.
3. Use body: {"name":"Đinh Hoàng Nam","email":"&lt;img src=x onerror=alert(23127430)&gt;","password":"Valid1@a"}.
4. Capture status, response headers, and JSON body.
5. Verify any echoed input is safely encoded and never executes when displayed.</x:v>
      </x:c>
      <x:c r="J35" s="23" t="str">
        <x:v>SPECIFICATION GAP — HUMAN DECISION REQUIRED: invalid-request HTTP status is not defined.</x:v>
      </x:c>
      <x:c r="K35" s="23" t="str">
        <x:v>Reject invalid email; error content must not create executable reflected markup. Whether input is echoed and the exact error body are SPECIFICATION GAP.</x:v>
      </x:c>
      <x:c r="L35" s="23" t="str">
        <x:v>SPECIFICATION GAP — HUMAN DECISION REQUIRED: error response properties, types, and additionalProperties policy are not defined.</x:v>
      </x:c>
      <x:c r="M35" s="23" t="str">
        <x:v>TO DO HUMAN</x:v>
      </x:c>
      <x:c r="N35" s="23" t="str">
        <x:v>Pending human audit. Confirm matrix traceability and approve every SPECIFICATION GAP oracle before execution.</x:v>
      </x:c>
      <x:c r="O35" s="23" t="str"/>
      <x:c r="P35" s="23" t="str"/>
      <x:c r="Q35" s="23" t="str">
        <x:v>FR01-API-TC031 | Probe reflected-XSS safety in an invalid email error path</x:v>
      </x:c>
      <x:c r="R35" s="23" t="str"/>
      <x:c r="S35" s="23" t="str">
        <x:v>NOT RUN</x:v>
      </x:c>
      <x:c r="T35" s="23" t="str"/>
      <x:c r="U35" s="23" t="str">
        <x:v>Trace: Security Matrix—SEC-04 reflected XSS; Domain Matrix—invalid email.</x:v>
      </x:c>
    </x:row>
    <x:row r="36" ht="96" customHeight="1">
      <x:c r="A36" s="52" t="str">
        <x:v>FR01-API-TC032</x:v>
      </x:c>
      <x:c r="B36" s="23" t="str">
        <x:v>FR-01</x:v>
      </x:c>
      <x:c r="C36" s="23" t="str">
        <x:v>POST /api/register</x:v>
      </x:c>
      <x:c r="D36" s="23" t="str">
        <x:v>AI</x:v>
      </x:c>
      <x:c r="E36" s="56" t="str">
        <x:v>Security</x:v>
      </x:c>
      <x:c r="F36" s="23" t="str">
        <x:v>Prevent privilege escalation through an unexpected role field</x:v>
      </x:c>
      <x:c r="G36" s="23" t="str">
        <x:v>Backend is available; generated email does not exist; supporting login/token or database role inspection is available.</x:v>
      </x:c>
      <x:c r="H36" s="23" t="str">
        <x:v>{"name":"Đinh Hoàng Nam","email":"fr01.tc032@example.test","password":"Valid1@a","role":"admin"}</x:v>
      </x:c>
      <x:c r="I36" s="23" t="str">
        <x:v>1. Set base URL to http://127.0.0.1:3000.
2. Send POST /api/register with Content-Type: application/json.
3. Use body: {"name":"Đinh Hoàng Nam","email":"fr01.tc032@example.test","password":"Valid1@a","role":"admin"}.
4. Capture status, response headers, and JSON body.
5. If registration succeeds, verify via supporting auth/role evidence that the new account did not gain admin privileges.</x:v>
      </x:c>
      <x:c r="J36" s="23" t="str">
        <x:v>SPECIFICATION GAP — HUMAN DECISION REQUIRED: invalid-request HTTP status is not defined.</x:v>
      </x:c>
      <x:c r="K36" s="23" t="str">
        <x:v>Unexpected role input must never grant administrator privilege. Whether extra fields are ignored or rejected, and the corresponding status/body, are SPECIFICATION GAP.</x:v>
      </x:c>
      <x:c r="L36" s="23" t="str">
        <x:v>SPECIFICATION GAP — HUMAN DECISION REQUIRED: additionalProperties/mass-assignment behavior and the selected branch schema are undefined.</x:v>
      </x:c>
      <x:c r="M36" s="23" t="str">
        <x:v>TO DO HUMAN</x:v>
      </x:c>
      <x:c r="N36" s="23" t="str">
        <x:v>Pending human audit. Confirm matrix traceability and approve every SPECIFICATION GAP oracle before execution.</x:v>
      </x:c>
      <x:c r="O36" s="23" t="str"/>
      <x:c r="P36" s="23" t="str"/>
      <x:c r="Q36" s="23" t="str">
        <x:v>FR01-API-TC032 | Prevent privilege escalation through an unexpected role field</x:v>
      </x:c>
      <x:c r="R36" s="23" t="str"/>
      <x:c r="S36" s="23" t="str">
        <x:v>NOT RUN</x:v>
      </x:c>
      <x:c r="T36" s="23" t="str"/>
      <x:c r="U36" s="23" t="str">
        <x:v>Trace: Security Matrix—mass assignment/role escalation; Schema Matrix—additional properties unspecified.</x:v>
      </x:c>
    </x:row>
    <x:row r="37" ht="96" customHeight="1">
      <x:c r="A37" s="52" t="str">
        <x:v>FR01-API-TC033</x:v>
      </x:c>
      <x:c r="B37" s="23" t="str">
        <x:v>FR-01</x:v>
      </x:c>
      <x:c r="C37" s="23" t="str">
        <x:v>GET /api/register</x:v>
      </x:c>
      <x:c r="D37" s="23" t="str">
        <x:v>AI</x:v>
      </x:c>
      <x:c r="E37" s="56" t="str">
        <x:v>Security</x:v>
      </x:c>
      <x:c r="F37" s="23" t="str">
        <x:v>Reject or route a wrong HTTP method without creating an account</x:v>
      </x:c>
      <x:c r="G37" s="23" t="str">
        <x:v>Backend is available; generated query email is absent; state can be verified through database or supporting login.</x:v>
      </x:c>
      <x:c r="H37" s="23" t="str">
        <x:v>GET http://127.0.0.1:3000/api/register?email=fr01.tc033%40example.test</x:v>
      </x:c>
      <x:c r="I37" s="23" t="str">
        <x:v>1. Set base URL to http://127.0.0.1:3000.
2. Send GET /api/register?email=fr01.tc033%40example.test.
3. Capture status, headers, and body.
4. Verify no account is created for fr01.tc033@example.test.</x:v>
      </x:c>
      <x:c r="J37" s="23" t="str">
        <x:v>SPECIFICATION GAP — HUMAN DECISION REQUIRED: wrong-method status (for example 404/405) is not defined.</x:v>
      </x:c>
      <x:c r="K37" s="23" t="str">
        <x:v>Request must not register an account; exact routing/error body is a SPECIFICATION GAP.</x:v>
      </x:c>
      <x:c r="L37" s="23" t="str">
        <x:v>SPECIFICATION GAP — HUMAN DECISION REQUIRED: wrong-method error schema is not defined.</x:v>
      </x:c>
      <x:c r="M37" s="23" t="str">
        <x:v>TO DO HUMAN</x:v>
      </x:c>
      <x:c r="N37" s="23" t="str">
        <x:v>Pending human audit. Confirm matrix traceability and approve every SPECIFICATION GAP oracle before execution.</x:v>
      </x:c>
      <x:c r="O37" s="23" t="str"/>
      <x:c r="P37" s="23" t="str"/>
      <x:c r="Q37" s="23" t="str">
        <x:v>FR01-API-TC033 | Reject or route a wrong HTTP method without creating an account</x:v>
      </x:c>
      <x:c r="R37" s="23" t="str"/>
      <x:c r="S37" s="23" t="str">
        <x:v>NOT RUN</x:v>
      </x:c>
      <x:c r="T37" s="23" t="str"/>
      <x:c r="U37" s="23" t="str">
        <x:v>Trace: Security Matrix—wrong HTTP method/missing method contract; State oracle—email remains S0.</x:v>
      </x:c>
    </x:row>
    <x:row r="38" ht="96" customHeight="1">
      <x:c r="A38" s="52" t="str">
        <x:v>FR01-API-TC034</x:v>
      </x:c>
      <x:c r="B38" s="23" t="str">
        <x:v>FR-01</x:v>
      </x:c>
      <x:c r="C38" s="23" t="str">
        <x:v>POST /api/register</x:v>
      </x:c>
      <x:c r="D38" s="23" t="str">
        <x:v>AI</x:v>
      </x:c>
      <x:c r="E38" s="57" t="str">
        <x:v>Schema</x:v>
      </x:c>
      <x:c r="F38" s="23" t="str">
        <x:v>Validate the documented success response object for a valid registration</x:v>
      </x:c>
      <x:c r="G38" s="23" t="str">
        <x:v>Backend is available; generated email does not exist.</x:v>
      </x:c>
      <x:c r="H38" s="23" t="str">
        <x:v>{"name":"Đinh Hoàng Nam","email":"fr01.tc034@example.test","password":"Valid1@a"}</x:v>
      </x:c>
      <x:c r="I38" s="23" t="str">
        <x:v>1. Set base URL to http://127.0.0.1:3000.
2. Send POST /api/register with Content-Type: application/json.
3. Use body: {"name":"Đinh Hoàng Nam","email":"fr01.tc034@example.test","password":"Valid1@a"}.
4. Capture status, response headers, and JSON body.</x:v>
      </x:c>
      <x:c r="J38" s="23" t="str">
        <x:v>200</x:v>
      </x:c>
      <x:c r="K38" s="23" t="str">
        <x:v>JSON object reporting successful registration; message must equal "User registered successfully"; id is generated and must not be assumed to equal the example value 1.</x:v>
      </x:c>
      <x:c r="L38" s="23" t="str">
        <x:v>Documented example object: {"message":"User registered successfully","id":&lt;generated&gt;}. Formal required-property list, id type, optional properties, and additionalProperties policy are SPECIFICATION GAP.</x:v>
      </x:c>
      <x:c r="M38" s="23" t="str">
        <x:v>TO DO HUMAN</x:v>
      </x:c>
      <x:c r="N38" s="23" t="str">
        <x:v>Pending human audit. Confirm matrix traceability and approve every SPECIFICATION GAP oracle before execution.</x:v>
      </x:c>
      <x:c r="O38" s="23" t="str"/>
      <x:c r="P38" s="23" t="str"/>
      <x:c r="Q38" s="23" t="str">
        <x:v>FR01-API-TC034 | Validate the documented success response object for a valid registration</x:v>
      </x:c>
      <x:c r="R38" s="23" t="str"/>
      <x:c r="S38" s="23" t="str">
        <x:v>NOT RUN</x:v>
      </x:c>
      <x:c r="T38" s="23" t="str"/>
      <x:c r="U38" s="23" t="str">
        <x:v>Trace: Response Schema Matrix—documented 200 example and object fields.</x:v>
      </x:c>
    </x:row>
    <x:row r="39" ht="96" customHeight="1">
      <x:c r="A39" s="52" t="str">
        <x:v>FR01-API-TC035</x:v>
      </x:c>
      <x:c r="B39" s="23" t="str">
        <x:v>FR-01</x:v>
      </x:c>
      <x:c r="C39" s="23" t="str">
        <x:v>POST /api/register</x:v>
      </x:c>
      <x:c r="D39" s="23" t="str">
        <x:v>AI</x:v>
      </x:c>
      <x:c r="E39" s="57" t="str">
        <x:v>Schema</x:v>
      </x:c>
      <x:c r="F39" s="23" t="str">
        <x:v>Validate the exact documented success message text</x:v>
      </x:c>
      <x:c r="G39" s="23" t="str">
        <x:v>Backend is available; generated email does not exist.</x:v>
      </x:c>
      <x:c r="H39" s="23" t="str">
        <x:v>{"name":"Đinh Hoàng Nam","email":"fr01.tc035@example.test","password":"Valid1@a"}</x:v>
      </x:c>
      <x:c r="I39" s="23" t="str">
        <x:v>1. Set base URL to http://127.0.0.1:3000.
2. Send POST /api/register with Content-Type: application/json.
3. Use body: {"name":"Đinh Hoàng Nam","email":"fr01.tc035@example.test","password":"Valid1@a"}.
4. Capture status, response headers, and JSON body.</x:v>
      </x:c>
      <x:c r="J39" s="23" t="str">
        <x:v>200</x:v>
      </x:c>
      <x:c r="K39" s="23" t="str">
        <x:v>JSON response message must equal exactly "User registered successfully"; id may vary.</x:v>
      </x:c>
      <x:c r="L39" s="23" t="str">
        <x:v>Documented example object: {"message":"User registered successfully","id":&lt;generated&gt;}. Formal required-property list, id type, optional properties, and additionalProperties policy are SPECIFICATION GAP.</x:v>
      </x:c>
      <x:c r="M39" s="23" t="str">
        <x:v>TO DO HUMAN</x:v>
      </x:c>
      <x:c r="N39" s="23" t="str">
        <x:v>Pending human audit. Confirm matrix traceability and approve every SPECIFICATION GAP oracle before execution.</x:v>
      </x:c>
      <x:c r="O39" s="23" t="str"/>
      <x:c r="P39" s="23" t="str"/>
      <x:c r="Q39" s="23" t="str">
        <x:v>FR01-API-TC035 | Validate the exact documented success message text</x:v>
      </x:c>
      <x:c r="R39" s="23" t="str"/>
      <x:c r="S39" s="23" t="str">
        <x:v>NOT RUN</x:v>
      </x:c>
      <x:c r="T39" s="23" t="str"/>
      <x:c r="U39" s="23" t="str">
        <x:v>Trace: Response Schema Matrix—observable documented message field.</x:v>
      </x:c>
    </x:row>
    <x:row r="40" ht="96" customHeight="1">
      <x:c r="A40" s="52" t="str">
        <x:v>FR01-API-TC036</x:v>
      </x:c>
      <x:c r="B40" s="23" t="str">
        <x:v>FR-01</x:v>
      </x:c>
      <x:c r="C40" s="23" t="str">
        <x:v>POST /api/register</x:v>
      </x:c>
      <x:c r="D40" s="23" t="str">
        <x:v>AI</x:v>
      </x:c>
      <x:c r="E40" s="57" t="str">
        <x:v>Schema</x:v>
      </x:c>
      <x:c r="F40" s="23" t="str">
        <x:v>Validate that the returned id is generated rather than fixed to the example value</x:v>
      </x:c>
      <x:c r="G40" s="23" t="str">
        <x:v>Backend is available; two distinct generated emails do not exist; first setup registration may be used only to compare generated identifiers.</x:v>
      </x:c>
      <x:c r="H40" s="23" t="str">
        <x:v>{"name":"Đinh Hoàng Nam","email":"fr01.tc036@example.test","password":"Valid1@a"}</x:v>
      </x:c>
      <x:c r="I40" s="23" t="str">
        <x:v>1. Set base URL to http://127.0.0.1:3000.
2. Send POST /api/register with Content-Type: application/json.
3. Use body: {"name":"Đinh Hoàng Nam","email":"fr01.tc036@example.test","password":"Valid1@a"}.
4. Capture status, response headers, and JSON body.
5. Compare with another independently created account if needed; require a distinguishable generated identifier but do not assert id=1 or invent a formal type.</x:v>
      </x:c>
      <x:c r="J40" s="23" t="str">
        <x:v>200</x:v>
      </x:c>
      <x:c r="K40" s="23" t="str">
        <x:v>Success object includes an id that identifies the created account; it must not be asserted as the literal example value 1.</x:v>
      </x:c>
      <x:c r="L40" s="23" t="str">
        <x:v>Documented example includes id, but its formal type/format/uniqueness constraints are SPECIFICATION GAP.</x:v>
      </x:c>
      <x:c r="M40" s="23" t="str">
        <x:v>TO DO HUMAN</x:v>
      </x:c>
      <x:c r="N40" s="23" t="str">
        <x:v>Pending human audit. Confirm matrix traceability and approve every SPECIFICATION GAP oracle before execution.</x:v>
      </x:c>
      <x:c r="O40" s="23" t="str"/>
      <x:c r="P40" s="23" t="str"/>
      <x:c r="Q40" s="23" t="str">
        <x:v>FR01-API-TC036 | Validate that the returned id is generated rather than fixed to the example value</x:v>
      </x:c>
      <x:c r="R40" s="23" t="str"/>
      <x:c r="S40" s="23" t="str">
        <x:v>NOT RUN</x:v>
      </x:c>
      <x:c r="T40" s="23" t="str"/>
      <x:c r="U40" s="23" t="str">
        <x:v>Trace: Response Schema Matrix—id is shown only in an example; avoids hard-coding sample data.</x:v>
      </x:c>
    </x:row>
    <x:row r="41" ht="96" customHeight="1">
      <x:c r="A41" s="52" t="str">
        <x:v>FR01-API-TC037</x:v>
      </x:c>
      <x:c r="B41" s="23" t="str">
        <x:v>FR-01</x:v>
      </x:c>
      <x:c r="C41" s="23" t="str">
        <x:v>POST /api/register</x:v>
      </x:c>
      <x:c r="D41" s="23" t="str">
        <x:v>AI</x:v>
      </x:c>
      <x:c r="E41" s="57" t="str">
        <x:v>Schema</x:v>
      </x:c>
      <x:c r="F41" s="23" t="str">
        <x:v>Capture and assess the success response Content-Type without inventing an exact header oracle</x:v>
      </x:c>
      <x:c r="G41" s="23" t="str">
        <x:v>Backend is available; generated email does not exist.</x:v>
      </x:c>
      <x:c r="H41" s="23" t="str">
        <x:v>{"name":"Đinh Hoàng Nam","email":"fr01.tc037@example.test","password":"Valid1@a"}</x:v>
      </x:c>
      <x:c r="I41" s="23" t="str">
        <x:v>1. Set base URL to http://127.0.0.1:3000.
2. Send POST /api/register with Content-Type: application/json.
3. Use body: {"name":"Đinh Hoàng Nam","email":"fr01.tc037@example.test","password":"Valid1@a"}.
4. Capture status, response headers, and JSON body.</x:v>
      </x:c>
      <x:c r="J41" s="23" t="str">
        <x:v>200</x:v>
      </x:c>
      <x:c r="K41" s="23" t="str">
        <x:v>Body must be parseable as the documented JSON success object; exact Content-Type header value/parameters are SPECIFICATION GAP.</x:v>
      </x:c>
      <x:c r="L41" s="23" t="str">
        <x:v>Documented example object: {"message":"User registered successfully","id":&lt;generated&gt;}. Formal required-property list, id type, optional properties, and additionalProperties policy are SPECIFICATION GAP.</x:v>
      </x:c>
      <x:c r="M41" s="23" t="str">
        <x:v>TO DO HUMAN</x:v>
      </x:c>
      <x:c r="N41" s="23" t="str">
        <x:v>Pending human audit. Confirm matrix traceability and approve every SPECIFICATION GAP oracle before execution.</x:v>
      </x:c>
      <x:c r="O41" s="23" t="str"/>
      <x:c r="P41" s="23" t="str"/>
      <x:c r="Q41" s="23" t="str">
        <x:v>FR01-API-TC037 | Capture and assess the success response Content-Type without inventing an exact header oracle</x:v>
      </x:c>
      <x:c r="R41" s="23" t="str"/>
      <x:c r="S41" s="23" t="str">
        <x:v>NOT RUN</x:v>
      </x:c>
      <x:c r="T41" s="23" t="str"/>
      <x:c r="U41" s="23" t="str">
        <x:v>Trace: Response Schema Matrix—expected content type is not explicitly specified; characterization for human decision.</x:v>
      </x:c>
    </x:row>
    <x:row r="42" ht="96" customHeight="1">
      <x:c r="A42" s="52" t="str">
        <x:v>FR01-API-TC038</x:v>
      </x:c>
      <x:c r="B42" s="23" t="str">
        <x:v>FR-01</x:v>
      </x:c>
      <x:c r="C42" s="23" t="str">
        <x:v>POST /api/register</x:v>
      </x:c>
      <x:c r="D42" s="23" t="str">
        <x:v>AI</x:v>
      </x:c>
      <x:c r="E42" s="57" t="str">
        <x:v>Schema</x:v>
      </x:c>
      <x:c r="F42" s="23" t="str">
        <x:v>Detect unexpected or sensitive properties in a successful registration response</x:v>
      </x:c>
      <x:c r="G42" s="23" t="str">
        <x:v>Backend is available; generated email does not exist; human reviewer has a sensitive-field denylist.</x:v>
      </x:c>
      <x:c r="H42" s="23" t="str">
        <x:v>{"name":"Đinh Hoàng Nam","email":"fr01.tc038@example.test","password":"Valid1@a"}</x:v>
      </x:c>
      <x:c r="I42" s="23" t="str">
        <x:v>1. Set base URL to http://127.0.0.1:3000.
2. Send POST /api/register with Content-Type: application/json.
3. Use body: {"name":"Đinh Hoàng Nam","email":"fr01.tc038@example.test","password":"Valid1@a"}.
4. Capture status, response headers, and JSON body.
5. Inspect every top-level property; flag password, password hash, token/secret, internal SQL/stack details, or unintended role/privilege data.</x:v>
      </x:c>
      <x:c r="J42" s="23" t="str">
        <x:v>200</x:v>
      </x:c>
      <x:c r="K42" s="23" t="str">
        <x:v>Success must not expose plaintext password, password hash, secret/token, stack trace, or internal database details. Additional benign fields remain a SPECIFICATION GAP.</x:v>
      </x:c>
      <x:c r="L42" s="23" t="str">
        <x:v>Documented example contains message and id; formal additionalProperties and forbidden-field policy are SPECIFICATION GAP, with security denylist applied.</x:v>
      </x:c>
      <x:c r="M42" s="23" t="str">
        <x:v>TO DO HUMAN</x:v>
      </x:c>
      <x:c r="N42" s="23" t="str">
        <x:v>Pending human audit. Confirm matrix traceability and approve every SPECIFICATION GAP oracle before execution.</x:v>
      </x:c>
      <x:c r="O42" s="23" t="str"/>
      <x:c r="P42" s="23" t="str"/>
      <x:c r="Q42" s="23" t="str">
        <x:v>FR01-API-TC038 | Detect unexpected or sensitive properties in a successful registration response</x:v>
      </x:c>
      <x:c r="R42" s="23" t="str"/>
      <x:c r="S42" s="23" t="str">
        <x:v>NOT RUN</x:v>
      </x:c>
      <x:c r="T42" s="23" t="str"/>
      <x:c r="U42" s="23" t="str">
        <x:v>Trace: Response Schema Matrix—forbidden sensitive fields/additional properties; Security Matrix—unexpected sensitive-data exposure.</x:v>
      </x:c>
    </x:row>
    <x:row r="43" ht="96" customHeight="1">
      <x:c r="A43" s="52" t="str">
        <x:v>FR01-API-TC039</x:v>
      </x:c>
      <x:c r="B43" s="23" t="str">
        <x:v>FR-01</x:v>
      </x:c>
      <x:c r="C43" s="23" t="str">
        <x:v>POST /api/register</x:v>
      </x:c>
      <x:c r="D43" s="23" t="str">
        <x:v>AI</x:v>
      </x:c>
      <x:c r="E43" s="57" t="str">
        <x:v>Schema</x:v>
      </x:c>
      <x:c r="F43" s="23" t="str">
        <x:v>Characterize duplicate-email error status, content type, and schema</x:v>
      </x:c>
      <x:c r="G43" s="23" t="str">
        <x:v>Pre-create fr01.tc039@example.test as setup and confirm it exists; retain original account for post-check.</x:v>
      </x:c>
      <x:c r="H43" s="23" t="str">
        <x:v>{"name":"Duplicate Schema Probe","email":"fr01.tc039@example.test","password":"Other1@a"}</x:v>
      </x:c>
      <x:c r="I43" s="23" t="str">
        <x:v>1. Set base URL to http://127.0.0.1:3000.
2. Send POST /api/register with Content-Type: application/json.
3. Use body: {"name":"Duplicate Schema Probe","email":"fr01.tc039@example.test","password":"Other1@a"}.
4. Capture status, response headers, and JSON body.
5. Record the complete error payload and Content-Type; verify existing account is unchanged.</x:v>
      </x:c>
      <x:c r="J43" s="23" t="str">
        <x:v>SPECIFICATION GAP — HUMAN DECISION REQUIRED: invalid-request HTTP status is not defined.</x:v>
      </x:c>
      <x:c r="K43" s="23" t="str">
        <x:v>Reject duplicate email and preserve the existing account. Record, do not invent, the error fields and message.</x:v>
      </x:c>
      <x:c r="L43" s="23" t="str">
        <x:v>SPECIFICATION GAP — HUMAN DECISION REQUIRED: error response properties, types, and additionalProperties policy are not defined.</x:v>
      </x:c>
      <x:c r="M43" s="23" t="str">
        <x:v>TO DO HUMAN</x:v>
      </x:c>
      <x:c r="N43" s="23" t="str">
        <x:v>Pending human audit. Confirm matrix traceability and approve every SPECIFICATION GAP oracle before execution.</x:v>
      </x:c>
      <x:c r="O43" s="23" t="str"/>
      <x:c r="P43" s="23" t="str"/>
      <x:c r="Q43" s="23" t="str">
        <x:v>FR01-API-TC039 | Characterize duplicate-email error status, content type, and schema</x:v>
      </x:c>
      <x:c r="R43" s="23" t="str"/>
      <x:c r="S43" s="23" t="str">
        <x:v>NOT RUN</x:v>
      </x:c>
      <x:c r="T43" s="23" t="str"/>
      <x:c r="U43" s="23" t="str">
        <x:v>Trace: Response Schema Matrix—error response shape/content type gap; State Matrix—duplicate stays S1.</x:v>
      </x:c>
    </x:row>
    <x:row r="44" ht="96" customHeight="1">
      <x:c r="A44" s="52" t="str">
        <x:v>FR01-API-TC040</x:v>
      </x:c>
      <x:c r="B44" s="23" t="str">
        <x:v>FR-01</x:v>
      </x:c>
      <x:c r="C44" s="23" t="str">
        <x:v>POST /api/register</x:v>
      </x:c>
      <x:c r="D44" s="23" t="str">
        <x:v>AI</x:v>
      </x:c>
      <x:c r="E44" s="57" t="str">
        <x:v>Schema</x:v>
      </x:c>
      <x:c r="F44" s="23" t="str">
        <x:v>Characterize malformed-JSON error handling and response schema</x:v>
      </x:c>
      <x:c r="G44" s="23" t="str">
        <x:v>Backend is available; generated email literal in malformed body is absent.</x:v>
      </x:c>
      <x:c r="H44" s="23" t="str">
        <x:v>{"name":"Đinh Hoàng Nam","email":"fr01.tc040@example.test","password":"Valid1@a"</x:v>
      </x:c>
      <x:c r="I44" s="23" t="str">
        <x:v>1. Set base URL to http://127.0.0.1:3000.
2. Send POST /api/register with Content-Type: application/json.
3. Send the deliberately truncated JSON body: {"name":"Đinh Hoàng Nam","email":"fr01.tc040@example.test","password":"Valid1@a".
4. Capture status, Content-Type, and raw body.
5. Verify no account is created.</x:v>
      </x:c>
      <x:c r="J44" s="23" t="str">
        <x:v>SPECIFICATION GAP — HUMAN DECISION REQUIRED: invalid-request HTTP status is not defined.</x:v>
      </x:c>
      <x:c r="K44" s="23" t="str">
        <x:v>Malformed JSON must not create an account; exact parser error content and exposure policy are SPECIFICATION GAP.</x:v>
      </x:c>
      <x:c r="L44" s="23" t="str">
        <x:v>SPECIFICATION GAP — HUMAN DECISION REQUIRED: malformed-JSON error schema and Content-Type are not defined; no stack trace/internal details may be exposed.</x:v>
      </x:c>
      <x:c r="M44" s="23" t="str">
        <x:v>TO DO HUMAN</x:v>
      </x:c>
      <x:c r="N44" s="23" t="str">
        <x:v>Pending human audit. Confirm matrix traceability and approve every SPECIFICATION GAP oracle before execution.</x:v>
      </x:c>
      <x:c r="O44" s="23" t="str"/>
      <x:c r="P44" s="23" t="str"/>
      <x:c r="Q44" s="23" t="str">
        <x:v>FR01-API-TC040 | Characterize malformed-JSON error handling and response schema</x:v>
      </x:c>
      <x:c r="R44" s="23" t="str"/>
      <x:c r="S44" s="23" t="str">
        <x:v>NOT RUN</x:v>
      </x:c>
      <x:c r="T44" s="23" t="str"/>
      <x:c r="U44" s="23" t="str">
        <x:v>Trace: Response Schema Matrix—error shape/content type gap; Security Matrix—unexpected internal-data exposure.</x:v>
      </x:c>
    </x:row>
    <x:row r="45" ht="30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</x:row>
    <x:row r="46" ht="30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</x:row>
    <x:row r="47" ht="30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</x:row>
    <x:row r="48" ht="3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</x:row>
    <x:row r="49" ht="3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</x:row>
    <x:row r="50" ht="3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</x:row>
    <x:row r="51" ht="3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</x:row>
    <x:row r="52" ht="3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</x:row>
    <x:row r="53" ht="3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</x:row>
    <x:row r="54" ht="3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</x:row>
    <x:row r="55" ht="3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</x:row>
    <x:row r="56" ht="3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</x:row>
    <x:row r="57" ht="3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</x:row>
    <x:row r="58" ht="3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</x:row>
    <x:row r="59" ht="3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</x:row>
    <x:row r="60" ht="3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</x:row>
    <x:row r="61" ht="3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</x:row>
    <x:row r="62" ht="3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</x:row>
    <x:row r="63" ht="3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</x:row>
    <x:row r="64" ht="3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</x:row>
    <x:row r="65" ht="3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</x:row>
    <x:row r="66" ht="3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</x:row>
    <x:row r="67" ht="3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</x:row>
    <x:row r="68" ht="3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</x:row>
    <x:row r="69" ht="3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</x:row>
    <x:row r="70" ht="3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</x:row>
    <x:row r="71" ht="3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</x:row>
    <x:row r="72" ht="3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</x:row>
    <x:row r="73" ht="3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</x:row>
    <x:row r="74" ht="3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</x:row>
    <x:row r="75" ht="3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</x:row>
    <x:row r="76" ht="3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</x:row>
    <x:row r="77" ht="3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</x:row>
    <x:row r="78" ht="3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</x:row>
    <x:row r="79" ht="3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</x:row>
    <x:row r="80" ht="3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</x:row>
    <x:row r="81" ht="3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</x:row>
    <x:row r="82" ht="3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</x:row>
    <x:row r="83" ht="3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</x:row>
    <x:row r="84" ht="3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</x:row>
    <x:row r="85" ht="3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</x:row>
    <x:row r="86" ht="3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</x:row>
    <x:row r="87" ht="3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</x:row>
    <x:row r="88" ht="3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</x:row>
    <x:row r="89" ht="3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</x:row>
    <x:row r="90" ht="3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</x:row>
    <x:row r="91" ht="3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</x:row>
    <x:row r="92" ht="3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</x:row>
    <x:row r="93" ht="3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</x:row>
    <x:row r="94" ht="3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</x:row>
    <x:row r="95" ht="3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</x:row>
    <x:row r="96" ht="3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</x:row>
    <x:row r="97" ht="3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</x:row>
    <x:row r="98" ht="3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</x:row>
    <x:row r="99" ht="3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</x:row>
    <x:row r="100" ht="3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</x:row>
    <x:row r="101" ht="3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</x:row>
    <x:row r="102" ht="3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</x:row>
    <x:row r="103" ht="3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</x:row>
    <x:row r="104" ht="3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</x:row>
    <x:row r="105" ht="3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</x:row>
    <x:row r="106" ht="3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</x:row>
    <x:row r="107" ht="3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</x:row>
    <x:row r="108" ht="3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</x:row>
    <x:row r="109" ht="3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</x:row>
    <x:row r="110" ht="3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</x:row>
    <x:row r="111" ht="3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</x:row>
    <x:row r="112" ht="3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</x:row>
    <x:row r="113" ht="3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</x:row>
    <x:row r="114" ht="3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</x:row>
    <x:row r="115" ht="3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</x:row>
    <x:row r="116" ht="3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</x:row>
    <x:row r="117" ht="3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</x:row>
    <x:row r="118" ht="3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</x:row>
    <x:row r="119" ht="3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</x:row>
    <x:row r="120" ht="3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</x:row>
    <x:row r="121" ht="3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</x:row>
    <x:row r="122" ht="3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</x:row>
    <x:row r="123" ht="3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</x:row>
    <x:row r="124" ht="3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</x:row>
    <x:row r="125" ht="3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</x:row>
    <x:row r="126" ht="3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</x:row>
    <x:row r="127" ht="3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</x:row>
    <x:row r="128" ht="3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</x:row>
    <x:row r="129" ht="3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</x:row>
    <x:row r="130" ht="3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</x:row>
    <x:row r="131" ht="3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</x:row>
    <x:row r="132" ht="3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</x:row>
    <x:row r="133" ht="3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</x:row>
    <x:row r="134" ht="3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</x:row>
    <x:row r="135" ht="3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</x:row>
    <x:row r="136" ht="3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</x:row>
    <x:row r="137" ht="3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</x:row>
    <x:row r="138" ht="3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</x:row>
    <x:row r="139" ht="3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</x:row>
    <x:row r="140" ht="3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</x:row>
    <x:row r="141" ht="3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</x:row>
    <x:row r="142" ht="3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</x:row>
    <x:row r="143" ht="3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</x:row>
    <x:row r="144" ht="3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</x:row>
    <x:row r="145" ht="3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</x:row>
    <x:row r="146" ht="3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</x:row>
    <x:row r="147" ht="3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</x:row>
    <x:row r="148" ht="3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</x:row>
    <x:row r="149" ht="3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</x:row>
    <x:row r="150" ht="3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</x:row>
    <x:row r="151" ht="3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</x:row>
    <x:row r="152" ht="3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</x:row>
    <x:row r="153" ht="3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</x:row>
    <x:row r="154" ht="3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</x:row>
    <x:row r="155" ht="3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</x:row>
    <x:row r="156" ht="3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</x:row>
    <x:row r="157" ht="3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</x:row>
    <x:row r="158" ht="3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</x:row>
    <x:row r="159" ht="3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</x:row>
    <x:row r="160" ht="3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</x:row>
    <x:row r="161" ht="3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</x:row>
    <x:row r="162" ht="3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</x:row>
    <x:row r="163" ht="3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</x:row>
    <x:row r="164" ht="3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</x:row>
    <x:row r="165" ht="3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</x:row>
    <x:row r="166" ht="3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</x:row>
    <x:row r="167" ht="3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</x:row>
    <x:row r="168" ht="3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</x:row>
    <x:row r="169" ht="3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</x:row>
    <x:row r="170" ht="3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</x:row>
    <x:row r="171" ht="3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</x:row>
    <x:row r="172" ht="3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</x:row>
    <x:row r="173" ht="3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</x:row>
    <x:row r="174" ht="3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</x:row>
    <x:row r="175" ht="3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</x:row>
    <x:row r="176" ht="3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</x:row>
    <x:row r="177" ht="3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</x:row>
    <x:row r="178" ht="3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</x:row>
    <x:row r="179" ht="3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</x:row>
    <x:row r="180" ht="3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</x:row>
    <x:row r="181" ht="3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</x:row>
    <x:row r="182" ht="3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</x:row>
    <x:row r="183" ht="3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</x:row>
    <x:row r="184" ht="3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</x:row>
    <x:row r="185" ht="3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</x:row>
    <x:row r="186" ht="3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</x:row>
    <x:row r="187" ht="3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</x:row>
    <x:row r="188" ht="3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</x:row>
    <x:row r="189" ht="3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</x:row>
    <x:row r="190" ht="3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</x:row>
    <x:row r="191" ht="3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</x:row>
    <x:row r="192" ht="3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</x:row>
    <x:row r="193" ht="3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</x:row>
    <x:row r="194" ht="3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</x:row>
    <x:row r="195" ht="3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</x:row>
    <x:row r="196" ht="3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</x:row>
    <x:row r="197" ht="3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</x:row>
    <x:row r="198" ht="3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</x:row>
    <x:row r="199" ht="3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</x:row>
    <x:row r="200" ht="3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</x:row>
    <x:row r="201" ht="30" customHeight="1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</x:row>
    <x:row r="202" ht="30" customHeight="1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</x:row>
    <x:row r="203" ht="30" customHeight="1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</x:row>
    <x:row r="204" ht="30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</x:row>
  </x:sheetData>
  <x:mergeCells>
    <x:mergeCell ref="A1:U1"/>
    <x:mergeCell ref="A2:U2"/>
  </x:mergeCells>
  <x:conditionalFormatting sqref="M5:M204">
    <x:cfRule type="containsText" dxfId="0" priority="1" operator="containsText" text="VALID"/>
    <x:cfRule type="containsText" dxfId="1" priority="2" operator="containsText" text="INVALID"/>
    <x:cfRule type="containsText" dxfId="2" priority="3" operator="containsText" text="INCOMPLETE"/>
    <x:cfRule type="containsText" dxfId="3" priority="4" operator="containsText" text="TO DO HUMAN"/>
  </x:conditionalFormatting>
  <x:conditionalFormatting sqref="S5:S204">
    <x:cfRule type="containsText" dxfId="4" priority="5" operator="containsText" text="NOT RUN"/>
    <x:cfRule type="containsText" dxfId="5" priority="6" operator="containsText" text="PASS"/>
    <x:cfRule type="containsText" dxfId="6" priority="7" operator="containsText" text="FAIL"/>
    <x:cfRule type="containsText" dxfId="7" priority="8" operator="containsText" text="BLOCKED"/>
  </x:conditionalFormatting>
  <x:dataValidations count="4">
    <x:dataValidation type="list" sqref="D5:D204">
      <x:formula1>"AI,HUMAN"</x:formula1>
    </x:dataValidation>
    <x:dataValidation type="list" sqref="E5:E204">
      <x:formula1>"Domain,State,Security,Schema"</x:formula1>
    </x:dataValidation>
    <x:dataValidation type="list" sqref="M5:M204">
      <x:formula1>"VALID,INVALID,INCOMPLETE,TO DO HUMAN"</x:formula1>
    </x:dataValidation>
    <x:dataValidation type="list" sqref="S5:S204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1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  <x:col min="9" max="9" width="32" hidden="0" customWidth="1"/>
    <x:col min="10" max="10" width="16" hidden="0" customWidth="1"/>
    <x:col min="11" max="11" width="32" hidden="0" customWidth="1"/>
    <x:col min="12" max="12" width="30" hidden="0" customWidth="1"/>
    <x:col min="13" max="13" width="16" hidden="0" customWidth="1"/>
    <x:col min="14" max="14" width="28" hidden="0" customWidth="1"/>
    <x:col min="15" max="15" width="28" hidden="0" customWidth="1"/>
    <x:col min="16" max="16" width="32" hidden="0" customWidth="1"/>
    <x:col min="17" max="17" width="24" hidden="0" customWidth="1"/>
    <x:col min="18" max="18" width="26" hidden="0" customWidth="1"/>
    <x:col min="19" max="19" width="18" hidden="0" customWidth="1"/>
    <x:col min="20" max="20" width="12" hidden="0" customWidth="1"/>
    <x:col min="21" max="21" width="24" hidden="0" customWidth="1"/>
  </x:cols>
  <x:sheetData>
    <x:row r="1" ht="30" customHeight="1">
      <x:c r="A1" s="4" t="str">
        <x:v>FR-07 API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4" customHeight="1">
      <x:c r="A2" s="8" t="str">
        <x:v>43 AI-generated shopping cart API test cases | Human audit pending | No execution results recorded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42" customHeight="1">
      <x:c r="A4" s="14" t="str">
        <x:v>Test Case ID</x:v>
      </x:c>
      <x:c r="B4" s="14" t="str">
        <x:v>Feature ID</x:v>
      </x:c>
      <x:c r="C4" s="14" t="str">
        <x:v>Target Endpoint</x:v>
      </x:c>
      <x:c r="D4" s="14" t="str">
        <x:v>Source</x:v>
      </x:c>
      <x:c r="E4" s="14" t="str">
        <x:v>Coverage Type</x:v>
      </x:c>
      <x:c r="F4" s="14" t="str">
        <x:v>Test Objective</x:v>
      </x:c>
      <x:c r="G4" s="14" t="str">
        <x:v>Preconditions</x:v>
      </x:c>
      <x:c r="H4" s="14" t="str">
        <x:v>Test Data</x:v>
      </x:c>
      <x:c r="I4" s="14" t="str">
        <x:v>Test Steps</x:v>
      </x:c>
      <x:c r="J4" s="14" t="str">
        <x:v>Expected HTTP Status</x:v>
      </x:c>
      <x:c r="K4" s="14" t="str">
        <x:v>Expected Response</x:v>
      </x:c>
      <x:c r="L4" s="14" t="str">
        <x:v>Expected Schema</x:v>
      </x:c>
      <x:c r="M4" s="14" t="str">
        <x:v>AI Verdict</x:v>
      </x:c>
      <x:c r="N4" s="14" t="str">
        <x:v>Audit Reason</x:v>
      </x:c>
      <x:c r="O4" s="14" t="str">
        <x:v>Student Fix</x:v>
      </x:c>
      <x:c r="P4" s="14" t="str">
        <x:v>Corrected Test Case</x:v>
      </x:c>
      <x:c r="Q4" s="14" t="str">
        <x:v>Postman Request Name</x:v>
      </x:c>
      <x:c r="R4" s="14" t="str">
        <x:v>Actual Result</x:v>
      </x:c>
      <x:c r="S4" s="14" t="str">
        <x:v>Execution Status</x:v>
      </x:c>
      <x:c r="T4" s="14" t="str">
        <x:v>Bug ID</x:v>
      </x:c>
      <x:c r="U4" s="14" t="str">
        <x:v>Notes</x:v>
      </x:c>
    </x:row>
    <x:row r="5" ht="86.4000015258789" hidden="0" customHeight="1">
      <x:c r="A5" s="22" t="str">
        <x:v>FR07-API-TC001</x:v>
      </x:c>
      <x:c r="B5" s="22" t="str">
        <x:v>FR-07</x:v>
      </x:c>
      <x:c r="C5" s="22" t="str">
        <x:v>GET /api/cart</x:v>
      </x:c>
      <x:c r="D5" s="22" t="str">
        <x:v>AI</x:v>
      </x:c>
      <x:c r="E5" s="22" t="str">
        <x:v>Domain</x:v>
      </x:c>
      <x:c r="F5" s="22" t="str">
        <x:v>Retrieve a known-empty cart with a valid JWT and no request body</x:v>
      </x:c>
      <x:c r="G5" s="22" t="str">
        <x:v>Backend is available; login/register/product provisioning are setup operations and are not counted as selected FR-07 test cases. Disposable user has valid JWT; authenticated cart is known S0/empty.</x:v>
      </x:c>
      <x:c r="H5" s="22" t="str">
        <x:v>Authorization: Bearer {{userToken}}; body omitted</x:v>
      </x:c>
      <x:c r="I5" s="22" t="str">
        <x:v>1. Establish Preconditions; setup APIs are not counted as the selected test case.
2. Send GET /api/cart with Authorization: Bearer {{userToken}}.
3. Capture HTTP status, response headers, and raw body.
4. Apply oracle: Semantic oracle: no product rows. Exact empty-cart representation is unspecified.</x:v>
      </x:c>
      <x:c r="J5" s="22" t="str">
        <x:v>SPECIFICATION GAP — HUMAN DECISION REQUIRED: no success HTTP status is documented for this operation.</x:v>
      </x:c>
      <x:c r="K5" s="22" t="str">
        <x:v>Semantic oracle: no product rows. Exact empty-cart representation is unspecified.</x:v>
      </x:c>
      <x:c r="L5" s="22" t="str">
        <x:v>SPECIFICATION GAP — HUMAN DECISION REQUIRED: GET top-level representation, item fields/types, ordering, nullability, content type, and additionalProperties are not defined.</x:v>
      </x:c>
      <x:c r="M5" s="22" t="str">
        <x:v>TO DO HUMAN</x:v>
      </x:c>
      <x:c r="N5" s="22" t="str">
        <x:v>Pending human audit. Confirm matrix traceability and approve every SPECIFICATION GAP oracle before execution.</x:v>
      </x:c>
      <x:c r="O5" s="22"/>
      <x:c r="P5" s="22"/>
      <x:c r="Q5" s="22" t="str">
        <x:v>FR07-API-TC001 | Retrieve a known-empty cart with a valid JWT and no request body</x:v>
      </x:c>
      <x:c r="R5" s="22"/>
      <x:c r="S5" s="22" t="str">
        <x:v>NOT RUN</x:v>
      </x:c>
      <x:c r="T5" s="22"/>
      <x:c r="U5" s="22" t="str">
        <x:v>Trace: Domain—GET, valid JWT, omitted body, empty observable; Schema—empty representation.</x:v>
      </x:c>
    </x:row>
    <x:row r="6" ht="86.4000015258789" hidden="0" customHeight="1">
      <x:c r="A6" s="23" t="str">
        <x:v>FR07-API-TC002</x:v>
      </x:c>
      <x:c r="B6" s="23" t="str">
        <x:v>FR-07</x:v>
      </x:c>
      <x:c r="C6" s="23" t="str">
        <x:v>GET /api/cart</x:v>
      </x:c>
      <x:c r="D6" s="23" t="str">
        <x:v>AI</x:v>
      </x:c>
      <x:c r="E6" s="23" t="str">
        <x:v>Domain</x:v>
      </x:c>
      <x:c r="F6" s="23" t="str">
        <x:v>Characterize an unexpected query parameter on cart retrieval</x:v>
      </x:c>
      <x:c r="G6" s="23" t="str">
        <x:v>Backend is available; login/register/product provisioning are setup operations and are not counted as selected FR-07 test cases. Valid JWT; baseline cart state captured.</x:v>
      </x:c>
      <x:c r="H6" s="23" t="str">
        <x:v>GET /api/cart?page=1; Authorization: Bearer {{userToken}}</x:v>
      </x:c>
      <x:c r="I6" s="23" t="str">
        <x:v>1. Establish Preconditions; setup APIs are not counted as the selected test case.
2. Send GET /api/cart with Authorization: Bearer {{userToken}}.
3. Capture HTTP status, response headers, and raw body.
4. Apply oracle: Ignore versus reject is unspecified; GET must not mutate baseline state.</x:v>
      </x:c>
      <x:c r="J6" s="23" t="str">
        <x:v>SPECIFICATION GAP — HUMAN DECISION REQUIRED: query-parameter handling/status is not defined.</x:v>
      </x:c>
      <x:c r="K6" s="23" t="str">
        <x:v>Ignore versus reject is unspecified; GET must not mutate baseline state.</x:v>
      </x:c>
      <x:c r="L6" s="23" t="str">
        <x:v>SPECIFICATION GAP — HUMAN DECISION REQUIRED: error content type, top-level shape, required/optional properties, types, nullability, and additionalProperties are not defined.</x:v>
      </x:c>
      <x:c r="M6" s="23" t="str">
        <x:v>TO DO HUMAN</x:v>
      </x:c>
      <x:c r="N6" s="23" t="str">
        <x:v>Pending human audit. Confirm matrix traceability and approve every SPECIFICATION GAP oracle before execution.</x:v>
      </x:c>
      <x:c r="O6" s="23"/>
      <x:c r="P6" s="23"/>
      <x:c r="Q6" s="23" t="str">
        <x:v>FR07-API-TC002 | Characterize an unexpected query parameter on cart retrieval</x:v>
      </x:c>
      <x:c r="R6" s="23"/>
      <x:c r="S6" s="23" t="str">
        <x:v>NOT RUN</x:v>
      </x:c>
      <x:c r="T6" s="23"/>
      <x:c r="U6" s="23" t="str">
        <x:v>Trace: Domain—unexpected query fields; Contract—no query parameters.</x:v>
      </x:c>
    </x:row>
    <x:row r="7" ht="97.19999694824219" hidden="0" customHeight="1">
      <x:c r="A7" s="23" t="str">
        <x:v>FR07-API-TC003</x:v>
      </x:c>
      <x:c r="B7" s="23" t="str">
        <x:v>FR-07</x:v>
      </x:c>
      <x:c r="C7" s="23" t="str">
        <x:v>GET /api/cart</x:v>
      </x:c>
      <x:c r="D7" s="23" t="str">
        <x:v>AI</x:v>
      </x:c>
      <x:c r="E7" s="23" t="str">
        <x:v>Domain</x:v>
      </x:c>
      <x:c r="F7" s="23" t="str">
        <x:v>Characterize a JSON request body sent with GET /api/cart</x:v>
      </x:c>
      <x:c r="G7" s="23" t="str">
        <x:v>Backend is available; login/register/product provisioning are setup operations and are not counted as selected FR-07 test cases. Valid JWT; baseline cart state captured.</x:v>
      </x:c>
      <x:c r="H7" s="23" t="str">
        <x:v>Content-Type: application/json; body {"probe":"unexpected-get-body"}</x:v>
      </x:c>
      <x:c r="I7" s="23" t="str">
        <x:v>1. Establish Preconditions; setup APIs are not counted as the selected test case.
2. Send GET /api/cart with Authorization: Bearer {{userToken}}.
3. Capture HTTP status, response headers, and raw body.
4. Apply oracle: Present GET body is undocumented; retrieval must not mutate cart state.</x:v>
      </x:c>
      <x:c r="J7" s="23" t="str">
        <x:v>SPECIFICATION GAP — HUMAN DECISION REQUIRED: GET-body handling/status is not defined.</x:v>
      </x:c>
      <x:c r="K7" s="23" t="str">
        <x:v>Present GET body is undocumented; retrieval must not mutate cart state.</x:v>
      </x:c>
      <x:c r="L7" s="23" t="str">
        <x:v>SPECIFICATION GAP — HUMAN DECISION REQUIRED: error content type, top-level shape, required/optional properties, types, nullability, and additionalProperties are not defined.</x:v>
      </x:c>
      <x:c r="M7" s="23" t="str">
        <x:v>TO DO HUMAN</x:v>
      </x:c>
      <x:c r="N7" s="23" t="str">
        <x:v>Pending human audit. Confirm matrix traceability and approve every SPECIFICATION GAP oracle before execution.</x:v>
      </x:c>
      <x:c r="O7" s="23"/>
      <x:c r="P7" s="23"/>
      <x:c r="Q7" s="23" t="str">
        <x:v>FR07-API-TC003 | Characterize a JSON request body sent with GET /api/cart</x:v>
      </x:c>
      <x:c r="R7" s="23"/>
      <x:c r="S7" s="23" t="str">
        <x:v>NOT RUN</x:v>
      </x:c>
      <x:c r="T7" s="23"/>
      <x:c r="U7" s="23" t="str">
        <x:v>Trace: Domain—GET body omitted valid partition; State—GET preserves state.</x:v>
      </x:c>
    </x:row>
    <x:row r="8" ht="151.1999969482422" hidden="0" customHeight="1">
      <x:c r="A8" s="23" t="str">
        <x:v>FR07-API-TC004</x:v>
      </x:c>
      <x:c r="B8" s="23" t="str">
        <x:v>FR-07</x:v>
      </x:c>
      <x:c r="C8" s="23" t="str">
        <x:v>POST /api/cart</x:v>
      </x:c>
      <x:c r="D8" s="23" t="str">
        <x:v>AI</x:v>
      </x:c>
      <x:c r="E8" s="23" t="str">
        <x:v>Domain</x:v>
      </x:c>
      <x:c r="F8" s="23" t="str">
        <x:v>Add a typical product at the documented minimum quantity 1</x:v>
      </x:c>
      <x:c r="G8" s="23" t="str">
        <x:v>Backend is available; login/register/product provisioning are setup operations and are not counted as selected FR-07 test cases. Valid JWT; empty cart; product id 1 exists.</x:v>
      </x:c>
      <x:c r="H8" s="23" t="str">
        <x:v>{"id":1,"name":"Sản phẩm A","price":100000,"quantity":1}</x:v>
      </x:c>
      <x:c r="I8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A","price":100000,"quantity":1}.
4. Capture HTTP status, response headers, and raw body.
5. Use valid-token GET /api/cart to verify cart state; this verification call remains a selected FR-07 operation.
6. Apply oracle: S0→S1: exactly one product row with quantity 1; verify through GET.</x:v>
      </x:c>
      <x:c r="J8" s="23" t="str">
        <x:v>SPECIFICATION GAP — HUMAN DECISION REQUIRED: no success HTTP status is documented for this operation.</x:v>
      </x:c>
      <x:c r="K8" s="23" t="str">
        <x:v>S0→S1: exactly one product row with quantity 1; verify through GET.</x:v>
      </x:c>
      <x:c r="L8" s="23" t="str">
        <x:v>SPECIFICATION GAP — HUMAN DECISION REQUIRED: success top-level type, required/optional properties, property types, nullability, content type, and additionalProperties are not defined.</x:v>
      </x:c>
      <x:c r="M8" s="23" t="str">
        <x:v>TO DO HUMAN</x:v>
      </x:c>
      <x:c r="N8" s="23" t="str">
        <x:v>Pending human audit. Confirm matrix traceability and approve every SPECIFICATION GAP oracle before execution.</x:v>
      </x:c>
      <x:c r="O8" s="23"/>
      <x:c r="P8" s="23"/>
      <x:c r="Q8" s="23" t="str">
        <x:v>FR07-API-TC004 | Add a typical product at the documented minimum quantity 1</x:v>
      </x:c>
      <x:c r="R8" s="23"/>
      <x:c r="S8" s="23" t="str">
        <x:v>NOT RUN</x:v>
      </x:c>
      <x:c r="T8" s="23"/>
      <x:c r="U8" s="23" t="str">
        <x:v>Trace: Domain—quantity minimum 1; State—S0→S1.</x:v>
      </x:c>
    </x:row>
    <x:row r="9" ht="151.1999969482422" hidden="0" customHeight="1">
      <x:c r="A9" s="23" t="str">
        <x:v>FR07-API-TC005</x:v>
      </x:c>
      <x:c r="B9" s="23" t="str">
        <x:v>FR-07</x:v>
      </x:c>
      <x:c r="C9" s="23" t="str">
        <x:v>POST /api/cart</x:v>
      </x:c>
      <x:c r="D9" s="23" t="str">
        <x:v>AI</x:v>
      </x:c>
      <x:c r="E9" s="23" t="str">
        <x:v>Domain</x:v>
      </x:c>
      <x:c r="F9" s="23" t="str">
        <x:v>Add a product with positive integer quantity 2 from the request example domain</x:v>
      </x:c>
      <x:c r="G9" s="23" t="str">
        <x:v>Backend is available; login/register/product provisioning are setup operations and are not counted as selected FR-07 test cases. Valid JWT; empty cart; product id 1 exists.</x:v>
      </x:c>
      <x:c r="H9" s="23" t="str">
        <x:v>{"id":1,"name":"Sản phẩm A","price":100000,"quantity":2}</x:v>
      </x:c>
      <x:c r="I9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A","price":100000,"quantity":2}.
4. Capture HTTP status, response headers, and raw body.
5. Use valid-token GET /api/cart to verify cart state; this verification call remains a selected FR-07 operation.
6. Apply oracle: One distinct product row with quantity 2; example 2 is not a boundary.</x:v>
      </x:c>
      <x:c r="J9" s="23" t="str">
        <x:v>SPECIFICATION GAP — HUMAN DECISION REQUIRED: no success HTTP status is documented for this operation.</x:v>
      </x:c>
      <x:c r="K9" s="23" t="str">
        <x:v>One distinct product row with quantity 2; example 2 is not a boundary.</x:v>
      </x:c>
      <x:c r="L9" s="23" t="str">
        <x:v>SPECIFICATION GAP — HUMAN DECISION REQUIRED: success top-level type, required/optional properties, property types, nullability, content type, and additionalProperties are not defined.</x:v>
      </x:c>
      <x:c r="M9" s="23" t="str">
        <x:v>TO DO HUMAN</x:v>
      </x:c>
      <x:c r="N9" s="23" t="str">
        <x:v>Pending human audit. Confirm matrix traceability and approve every SPECIFICATION GAP oracle before execution.</x:v>
      </x:c>
      <x:c r="O9" s="23"/>
      <x:c r="P9" s="23"/>
      <x:c r="Q9" s="23" t="str">
        <x:v>FR07-API-TC005 | Add a product with positive integer quantity 2 from the request example domain</x:v>
      </x:c>
      <x:c r="R9" s="23"/>
      <x:c r="S9" s="23" t="str">
        <x:v>NOT RUN</x:v>
      </x:c>
      <x:c r="T9" s="23"/>
      <x:c r="U9" s="23" t="str">
        <x:v>Trace: Domain—positive integer quantity/example value; State—first add.</x:v>
      </x:c>
    </x:row>
    <x:row r="10" ht="151.1999969482422" hidden="0" customHeight="1">
      <x:c r="A10" s="23" t="str">
        <x:v>FR07-API-TC006</x:v>
      </x:c>
      <x:c r="B10" s="23" t="str">
        <x:v>FR-07</x:v>
      </x:c>
      <x:c r="C10" s="23" t="str">
        <x:v>POST /api/cart</x:v>
      </x:c>
      <x:c r="D10" s="23" t="str">
        <x:v>AI</x:v>
      </x:c>
      <x:c r="E10" s="23" t="str">
        <x:v>Domain</x:v>
      </x:c>
      <x:c r="F10" s="23" t="str">
        <x:v>Reject quantity 0 immediately below the documented minimum</x:v>
      </x:c>
      <x:c r="G10" s="23" t="str">
        <x:v>Backend is available; login/register/product provisioning are setup operations and are not counted as selected FR-07 test cases. Valid JWT; known baseline cart; product id 1 exists.</x:v>
      </x:c>
      <x:c r="H10" s="23" t="str">
        <x:v>{"id":1,"name":"Sản phẩm A","price":100000,"quantity":0}</x:v>
      </x:c>
      <x:c r="I10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A","price":100000,"quantity":0}.
4. Capture HTTP status, response headers, and raw body.
5. Use valid-token GET /api/cart to verify cart state; this verification call remains a selected FR-07 operation.
6. Apply oracle: No cart mutation; quantity 0 violates the minimum. Error body unspecified.</x:v>
      </x:c>
      <x:c r="J10" s="23" t="str">
        <x:v>SPECIFICATION GAP — HUMAN DECISION REQUIRED: invalid-request HTTP status is not defined.</x:v>
      </x:c>
      <x:c r="K10" s="23" t="str">
        <x:v>No cart mutation; quantity 0 violates the minimum. Error body unspecified.</x:v>
      </x:c>
      <x:c r="L10" s="23" t="str">
        <x:v>SPECIFICATION GAP — HUMAN DECISION REQUIRED: error content type, top-level shape, required/optional properties, types, nullability, and additionalProperties are not defined.</x:v>
      </x:c>
      <x:c r="M10" s="23" t="str">
        <x:v>TO DO HUMAN</x:v>
      </x:c>
      <x:c r="N10" s="23" t="str">
        <x:v>Pending human audit. Confirm matrix traceability and approve every SPECIFICATION GAP oracle before execution.</x:v>
      </x:c>
      <x:c r="O10" s="23"/>
      <x:c r="P10" s="23"/>
      <x:c r="Q10" s="23" t="str">
        <x:v>FR07-API-TC006 | Reject quantity 0 immediately below the documented minimum</x:v>
      </x:c>
      <x:c r="R10" s="23"/>
      <x:c r="S10" s="23" t="str">
        <x:v>NOT RUN</x:v>
      </x:c>
      <x:c r="T10" s="23"/>
      <x:c r="U10" s="23" t="str">
        <x:v>Trace: Domain—quantity 0 invalid/1 minimum; State—invalid quantity preserves state.</x:v>
      </x:c>
    </x:row>
    <x:row r="11" ht="151.1999969482422" hidden="0" customHeight="1">
      <x:c r="A11" s="23" t="str">
        <x:v>FR07-API-TC007</x:v>
      </x:c>
      <x:c r="B11" s="23" t="str">
        <x:v>FR-07</x:v>
      </x:c>
      <x:c r="C11" s="23" t="str">
        <x:v>POST /api/cart</x:v>
      </x:c>
      <x:c r="D11" s="23" t="str">
        <x:v>AI</x:v>
      </x:c>
      <x:c r="E11" s="23" t="str">
        <x:v>Domain</x:v>
      </x:c>
      <x:c r="F11" s="23" t="str">
        <x:v>Reject a negative integer quantity</x:v>
      </x:c>
      <x:c r="G11" s="23" t="str">
        <x:v>Backend is available; login/register/product provisioning are setup operations and are not counted as selected FR-07 test cases. Valid JWT; known baseline cart; product id 1 exists.</x:v>
      </x:c>
      <x:c r="H11" s="23" t="str">
        <x:v>{"id":1,"name":"Sản phẩm A","price":100000,"quantity":-1}</x:v>
      </x:c>
      <x:c r="I11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A","price":100000,"quantity":-1}.
4. Capture HTTP status, response headers, and raw body.
5. Use valid-token GET /api/cart to verify cart state; this verification call remains a selected FR-07 operation.
6. Apply oracle: No cart mutation; negative quantity violates positive-integer domain.</x:v>
      </x:c>
      <x:c r="J11" s="23" t="str">
        <x:v>SPECIFICATION GAP — HUMAN DECISION REQUIRED: invalid-request HTTP status is not defined.</x:v>
      </x:c>
      <x:c r="K11" s="23" t="str">
        <x:v>No cart mutation; negative quantity violates positive-integer domain.</x:v>
      </x:c>
      <x:c r="L11" s="23" t="str">
        <x:v>SPECIFICATION GAP — HUMAN DECISION REQUIRED: error content type, top-level shape, required/optional properties, types, nullability, and additionalProperties are not defined.</x:v>
      </x:c>
      <x:c r="M11" s="23" t="str">
        <x:v>TO DO HUMAN</x:v>
      </x:c>
      <x:c r="N11" s="23" t="str">
        <x:v>Pending human audit. Confirm matrix traceability and approve every SPECIFICATION GAP oracle before execution.</x:v>
      </x:c>
      <x:c r="O11" s="23"/>
      <x:c r="P11" s="23"/>
      <x:c r="Q11" s="23" t="str">
        <x:v>FR07-API-TC007 | Reject a negative integer quantity</x:v>
      </x:c>
      <x:c r="R11" s="23"/>
      <x:c r="S11" s="23" t="str">
        <x:v>NOT RUN</x:v>
      </x:c>
      <x:c r="T11" s="23"/>
      <x:c r="U11" s="23" t="str">
        <x:v>Trace: Domain—negative quantity; State—invalid request preserves state.</x:v>
      </x:c>
    </x:row>
    <x:row r="12" ht="151.1999969482422" hidden="0" customHeight="1">
      <x:c r="A12" s="23" t="str">
        <x:v>FR07-API-TC008</x:v>
      </x:c>
      <x:c r="B12" s="23" t="str">
        <x:v>FR-07</x:v>
      </x:c>
      <x:c r="C12" s="23" t="str">
        <x:v>POST /api/cart</x:v>
      </x:c>
      <x:c r="D12" s="23" t="str">
        <x:v>AI</x:v>
      </x:c>
      <x:c r="E12" s="23" t="str">
        <x:v>Domain</x:v>
      </x:c>
      <x:c r="F12" s="23" t="str">
        <x:v>Reject a fractional quantity</x:v>
      </x:c>
      <x:c r="G12" s="23" t="str">
        <x:v>Backend is available; login/register/product provisioning are setup operations and are not counted as selected FR-07 test cases. Valid JWT; known baseline cart; product id 1 exists.</x:v>
      </x:c>
      <x:c r="H12" s="23" t="str">
        <x:v>{"id":1,"name":"Sản phẩm A","price":100000,"quantity":1.5}</x:v>
      </x:c>
      <x:c r="I12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A","price":100000,"quantity":1.5}.
4. Capture HTTP status, response headers, and raw body.
5. Use valid-token GET /api/cart to verify cart state; this verification call remains a selected FR-07 operation.
6. Apply oracle: No cart mutation; fraction violates integer domain; coercion/rounding unspecified.</x:v>
      </x:c>
      <x:c r="J12" s="23" t="str">
        <x:v>SPECIFICATION GAP — HUMAN DECISION REQUIRED: invalid-request HTTP status is not defined.</x:v>
      </x:c>
      <x:c r="K12" s="23" t="str">
        <x:v>No cart mutation; fraction violates integer domain; coercion/rounding unspecified.</x:v>
      </x:c>
      <x:c r="L12" s="23" t="str">
        <x:v>SPECIFICATION GAP — HUMAN DECISION REQUIRED: error content type, top-level shape, required/optional properties, types, nullability, and additionalProperties are not defined.</x:v>
      </x:c>
      <x:c r="M12" s="23" t="str">
        <x:v>TO DO HUMAN</x:v>
      </x:c>
      <x:c r="N12" s="23" t="str">
        <x:v>Pending human audit. Confirm matrix traceability and approve every SPECIFICATION GAP oracle before execution.</x:v>
      </x:c>
      <x:c r="O12" s="23"/>
      <x:c r="P12" s="23"/>
      <x:c r="Q12" s="23" t="str">
        <x:v>FR07-API-TC008 | Reject a fractional quantity</x:v>
      </x:c>
      <x:c r="R12" s="23"/>
      <x:c r="S12" s="23" t="str">
        <x:v>NOT RUN</x:v>
      </x:c>
      <x:c r="T12" s="23"/>
      <x:c r="U12" s="23" t="str">
        <x:v>Trace: Domain—fractional quantity; State—invalid request preserves state.</x:v>
      </x:c>
    </x:row>
    <x:row r="13" ht="151.1999969482422" hidden="0" customHeight="1">
      <x:c r="A13" s="23" t="str">
        <x:v>FR07-API-TC009</x:v>
      </x:c>
      <x:c r="B13" s="23" t="str">
        <x:v>FR-07</x:v>
      </x:c>
      <x:c r="C13" s="23" t="str">
        <x:v>POST /api/cart</x:v>
      </x:c>
      <x:c r="D13" s="23" t="str">
        <x:v>AI</x:v>
      </x:c>
      <x:c r="E13" s="23" t="str">
        <x:v>Domain</x:v>
      </x:c>
      <x:c r="F13" s="23" t="str">
        <x:v>Characterize a numeric-string quantity instead of a JSON number</x:v>
      </x:c>
      <x:c r="G13" s="23" t="str">
        <x:v>Backend is available; login/register/product provisioning are setup operations and are not counted as selected FR-07 test cases. Valid JWT; known baseline cart; product id 1 exists.</x:v>
      </x:c>
      <x:c r="H13" s="23" t="str">
        <x:v>{"id":1,"name":"Sản phẩm A","price":100000,"quantity":"2"}</x:v>
      </x:c>
      <x:c r="I13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A","price":100000,"quantity":"2"}.
4. Capture HTTP status, response headers, and raw body.
5. Use valid-token GET /api/cart to verify cart state; this verification call remains a selected FR-07 operation.
6. Apply oracle: String coercion versus rejection and resulting state/error body are unspecified.</x:v>
      </x:c>
      <x:c r="J13" s="23" t="str">
        <x:v>SPECIFICATION GAP — HUMAN DECISION REQUIRED: wrong-type quantity status/coercion is not defined.</x:v>
      </x:c>
      <x:c r="K13" s="23" t="str">
        <x:v>String coercion versus rejection and resulting state/error body are unspecified.</x:v>
      </x:c>
      <x:c r="L13" s="23" t="str">
        <x:v>SPECIFICATION GAP — HUMAN DECISION REQUIRED: error content type, top-level shape, required/optional properties, types, nullability, and additionalProperties are not defined.</x:v>
      </x:c>
      <x:c r="M13" s="23" t="str">
        <x:v>TO DO HUMAN</x:v>
      </x:c>
      <x:c r="N13" s="23" t="str">
        <x:v>Pending human audit. Confirm matrix traceability and approve every SPECIFICATION GAP oracle before execution.</x:v>
      </x:c>
      <x:c r="O13" s="23"/>
      <x:c r="P13" s="23"/>
      <x:c r="Q13" s="23" t="str">
        <x:v>FR07-API-TC009 | Characterize a numeric-string quantity instead of a JSON number</x:v>
      </x:c>
      <x:c r="R13" s="23"/>
      <x:c r="S13" s="23" t="str">
        <x:v>NOT RUN</x:v>
      </x:c>
      <x:c r="T13" s="23"/>
      <x:c r="U13" s="23" t="str">
        <x:v>Trace: Domain—quantity wrong type; Schema—validation error gap.</x:v>
      </x:c>
    </x:row>
    <x:row r="14" ht="162" hidden="0" customHeight="1">
      <x:c r="A14" s="23" t="str">
        <x:v>FR07-API-TC010</x:v>
      </x:c>
      <x:c r="B14" s="23" t="str">
        <x:v>FR-07</x:v>
      </x:c>
      <x:c r="C14" s="23" t="str">
        <x:v>POST /api/cart</x:v>
      </x:c>
      <x:c r="D14" s="23" t="str">
        <x:v>AI</x:v>
      </x:c>
      <x:c r="E14" s="23" t="str">
        <x:v>Domain</x:v>
      </x:c>
      <x:c r="F14" s="23" t="str">
        <x:v>Characterize a null quantity</x:v>
      </x:c>
      <x:c r="G14" s="23" t="str">
        <x:v>Backend is available; login/register/product provisioning are setup operations and are not counted as selected FR-07 test cases. Valid JWT; known baseline cart; product id 1 exists.</x:v>
      </x:c>
      <x:c r="H14" s="23" t="str">
        <x:v>{"id":1,"name":"Sản phẩm A","price":100000,"quantity":null}</x:v>
      </x:c>
      <x:c r="I14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A","price":100000,"quantity":null}.
4. Capture HTTP status, response headers, and raw body.
5. Use valid-token GET /api/cart to verify cart state; this verification call remains a selected FR-07 operation.
6. Apply oracle: Null does not satisfy semantic integer domain, but requiredness/rejection are unspecified.</x:v>
      </x:c>
      <x:c r="J14" s="23" t="str">
        <x:v>SPECIFICATION GAP — HUMAN DECISION REQUIRED: quantity nullability/status is not defined.</x:v>
      </x:c>
      <x:c r="K14" s="23" t="str">
        <x:v>Null does not satisfy semantic integer domain, but requiredness/rejection are unspecified.</x:v>
      </x:c>
      <x:c r="L14" s="23" t="str">
        <x:v>SPECIFICATION GAP — HUMAN DECISION REQUIRED: error content type, top-level shape, required/optional properties, types, nullability, and additionalProperties are not defined.</x:v>
      </x:c>
      <x:c r="M14" s="23" t="str">
        <x:v>TO DO HUMAN</x:v>
      </x:c>
      <x:c r="N14" s="23" t="str">
        <x:v>Pending human audit. Confirm matrix traceability and approve every SPECIFICATION GAP oracle before execution.</x:v>
      </x:c>
      <x:c r="O14" s="23"/>
      <x:c r="P14" s="23"/>
      <x:c r="Q14" s="23" t="str">
        <x:v>FR07-API-TC010 | Characterize a null quantity</x:v>
      </x:c>
      <x:c r="R14" s="23"/>
      <x:c r="S14" s="23" t="str">
        <x:v>NOT RUN</x:v>
      </x:c>
      <x:c r="T14" s="23"/>
      <x:c r="U14" s="23" t="str">
        <x:v>Trace: Domain—quantity null/requiredness gap.</x:v>
      </x:c>
    </x:row>
    <x:row r="15" ht="151.1999969482422" hidden="0" customHeight="1">
      <x:c r="A15" s="23" t="str">
        <x:v>FR07-API-TC011</x:v>
      </x:c>
      <x:c r="B15" s="23" t="str">
        <x:v>FR-07</x:v>
      </x:c>
      <x:c r="C15" s="23" t="str">
        <x:v>POST /api/cart</x:v>
      </x:c>
      <x:c r="D15" s="23" t="str">
        <x:v>AI</x:v>
      </x:c>
      <x:c r="E15" s="23" t="str">
        <x:v>Domain</x:v>
      </x:c>
      <x:c r="F15" s="23" t="str">
        <x:v>Characterize a POST body with quantity omitted</x:v>
      </x:c>
      <x:c r="G15" s="23" t="str">
        <x:v>Backend is available; login/register/product provisioning are setup operations and are not counted as selected FR-07 test cases. Valid JWT; known baseline cart; product id 1 exists.</x:v>
      </x:c>
      <x:c r="H15" s="23" t="str">
        <x:v>{"id":1,"name":"Sản phẩm A","price":100000}</x:v>
      </x:c>
      <x:c r="I15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A","price":100000}.
4. Capture HTTP status, response headers, and raw body.
5. Use valid-token GET /api/cart to verify cart state; this verification call remains a selected FR-07 operation.
6. Apply oracle: Quantity is semantically needed, but required properties and missing-field behavior are unspecified.</x:v>
      </x:c>
      <x:c r="J15" s="23" t="str">
        <x:v>SPECIFICATION GAP — HUMAN DECISION REQUIRED: missing quantity status is not defined.</x:v>
      </x:c>
      <x:c r="K15" s="23" t="str">
        <x:v>Quantity is semantically needed, but required properties and missing-field behavior are unspecified.</x:v>
      </x:c>
      <x:c r="L15" s="23" t="str">
        <x:v>SPECIFICATION GAP — HUMAN DECISION REQUIRED: error content type, top-level shape, required/optional properties, types, nullability, and additionalProperties are not defined.</x:v>
      </x:c>
      <x:c r="M15" s="23" t="str">
        <x:v>TO DO HUMAN</x:v>
      </x:c>
      <x:c r="N15" s="23" t="str">
        <x:v>Pending human audit. Confirm matrix traceability and approve every SPECIFICATION GAP oracle before execution.</x:v>
      </x:c>
      <x:c r="O15" s="23"/>
      <x:c r="P15" s="23"/>
      <x:c r="Q15" s="23" t="str">
        <x:v>FR07-API-TC011 | Characterize a POST body with quantity omitted</x:v>
      </x:c>
      <x:c r="R15" s="23"/>
      <x:c r="S15" s="23" t="str">
        <x:v>NOT RUN</x:v>
      </x:c>
      <x:c r="T15" s="23"/>
      <x:c r="U15" s="23" t="str">
        <x:v>Trace: Domain—missing quantity; Contract—no formal required schema.</x:v>
      </x:c>
    </x:row>
    <x:row r="16" ht="162" hidden="0" customHeight="1">
      <x:c r="A16" s="23" t="str">
        <x:v>FR07-API-TC012</x:v>
      </x:c>
      <x:c r="B16" s="23" t="str">
        <x:v>FR-07</x:v>
      </x:c>
      <x:c r="C16" s="23" t="str">
        <x:v>POST /api/cart</x:v>
      </x:c>
      <x:c r="D16" s="23" t="str">
        <x:v>AI</x:v>
      </x:c>
      <x:c r="E16" s="23" t="str">
        <x:v>Domain</x:v>
      </x:c>
      <x:c r="F16" s="23" t="str">
        <x:v>Characterize product id supplied as a JSON string</x:v>
      </x:c>
      <x:c r="G16" s="23" t="str">
        <x:v>Backend is available; login/register/product provisioning are setup operations and are not counted as selected FR-07 test cases. Valid JWT; known baseline cart; numeric product id 1 exists.</x:v>
      </x:c>
      <x:c r="H16" s="23" t="str">
        <x:v>{"id":"1","name":"Sản phẩm A","price":100000,"quantity":1}</x:v>
      </x:c>
      <x:c r="I16" s="23" t="str">
        <x:v>1. Establish Preconditions; setup APIs are not counted as the selected test case.
2. Send POST /api/cart with Authorization: Bearer {{userToken}} and Content-Type: application/json.
3. Use test data exactly as recorded: {"id":"1","name":"Sản phẩm A","price":100000,"quantity":1}.
4. Capture HTTP status, response headers, and raw body.
5. Use valid-token GET /api/cart to verify cart state; this verification call remains a selected FR-07 operation.
6. Apply oracle: Numeric id is only an example; type, coercion, existence, and identity semantics are unspecified.</x:v>
      </x:c>
      <x:c r="J16" s="23" t="str">
        <x:v>SPECIFICATION GAP — HUMAN DECISION REQUIRED: id type/coercion status is not defined.</x:v>
      </x:c>
      <x:c r="K16" s="23" t="str">
        <x:v>Numeric id is only an example; type, coercion, existence, and identity semantics are unspecified.</x:v>
      </x:c>
      <x:c r="L16" s="23" t="str">
        <x:v>SPECIFICATION GAP — HUMAN DECISION REQUIRED: error content type, top-level shape, required/optional properties, types, nullability, and additionalProperties are not defined.</x:v>
      </x:c>
      <x:c r="M16" s="23" t="str">
        <x:v>TO DO HUMAN</x:v>
      </x:c>
      <x:c r="N16" s="23" t="str">
        <x:v>Pending human audit. Confirm matrix traceability and approve every SPECIFICATION GAP oracle before execution.</x:v>
      </x:c>
      <x:c r="O16" s="23"/>
      <x:c r="P16" s="23"/>
      <x:c r="Q16" s="23" t="str">
        <x:v>FR07-API-TC012 | Characterize product id supplied as a JSON string</x:v>
      </x:c>
      <x:c r="R16" s="23"/>
      <x:c r="S16" s="23" t="str">
        <x:v>NOT RUN</x:v>
      </x:c>
      <x:c r="T16" s="23"/>
      <x:c r="U16" s="23" t="str">
        <x:v>Trace: Domain—id wrong type and identity gap.</x:v>
      </x:c>
    </x:row>
    <x:row r="17" ht="151.1999969482422" hidden="0" customHeight="1">
      <x:c r="A17" s="23" t="str">
        <x:v>FR07-API-TC013</x:v>
      </x:c>
      <x:c r="B17" s="23" t="str">
        <x:v>FR-07</x:v>
      </x:c>
      <x:c r="C17" s="23" t="str">
        <x:v>POST /api/cart</x:v>
      </x:c>
      <x:c r="D17" s="23" t="str">
        <x:v>AI</x:v>
      </x:c>
      <x:c r="E17" s="23" t="str">
        <x:v>Domain</x:v>
      </x:c>
      <x:c r="F17" s="23" t="str">
        <x:v>Characterize a null product id</x:v>
      </x:c>
      <x:c r="G17" s="23" t="str">
        <x:v>Backend is available; login/register/product provisioning are setup operations and are not counted as selected FR-07 test cases. Valid JWT; known baseline cart.</x:v>
      </x:c>
      <x:c r="H17" s="23" t="str">
        <x:v>{"id":null,"name":"Sản phẩm A","price":100000,"quantity":1}</x:v>
      </x:c>
      <x:c r="I17" s="23" t="str">
        <x:v>1. Establish Preconditions; setup APIs are not counted as the selected test case.
2. Send POST /api/cart with Authorization: Bearer {{userToken}} and Content-Type: application/json.
3. Use test data exactly as recorded: {"id":null,"name":"Sản phẩm A","price":100000,"quantity":1}.
4. Capture HTTP status, response headers, and raw body.
5. Use valid-token GET /api/cart to verify cart state; this verification call remains a selected FR-07 operation.
6. Apply oracle: Id requiredness/nullability and product-identity handling are unspecified.</x:v>
      </x:c>
      <x:c r="J17" s="23" t="str">
        <x:v>SPECIFICATION GAP — HUMAN DECISION REQUIRED: id nullability/status is not defined.</x:v>
      </x:c>
      <x:c r="K17" s="23" t="str">
        <x:v>Id requiredness/nullability and product-identity handling are unspecified.</x:v>
      </x:c>
      <x:c r="L17" s="23" t="str">
        <x:v>SPECIFICATION GAP — HUMAN DECISION REQUIRED: error content type, top-level shape, required/optional properties, types, nullability, and additionalProperties are not defined.</x:v>
      </x:c>
      <x:c r="M17" s="23" t="str">
        <x:v>TO DO HUMAN</x:v>
      </x:c>
      <x:c r="N17" s="23" t="str">
        <x:v>Pending human audit. Confirm matrix traceability and approve every SPECIFICATION GAP oracle before execution.</x:v>
      </x:c>
      <x:c r="O17" s="23"/>
      <x:c r="P17" s="23"/>
      <x:c r="Q17" s="23" t="str">
        <x:v>FR07-API-TC013 | Characterize a null product id</x:v>
      </x:c>
      <x:c r="R17" s="23"/>
      <x:c r="S17" s="23" t="str">
        <x:v>NOT RUN</x:v>
      </x:c>
      <x:c r="T17" s="23"/>
      <x:c r="U17" s="23" t="str">
        <x:v>Trace: Domain—id null and identity gap.</x:v>
      </x:c>
    </x:row>
    <x:row r="18" ht="162" hidden="0" customHeight="1">
      <x:c r="A18" s="23" t="str">
        <x:v>FR07-API-TC014</x:v>
      </x:c>
      <x:c r="B18" s="23" t="str">
        <x:v>FR-07</x:v>
      </x:c>
      <x:c r="C18" s="23" t="str">
        <x:v>POST /api/cart</x:v>
      </x:c>
      <x:c r="D18" s="23" t="str">
        <x:v>AI</x:v>
      </x:c>
      <x:c r="E18" s="23" t="str">
        <x:v>Domain</x:v>
      </x:c>
      <x:c r="F18" s="23" t="str">
        <x:v>Preserve a Vietnamese Unicode product name without inventing normalization rules</x:v>
      </x:c>
      <x:c r="G18" s="23" t="str">
        <x:v>Backend is available; login/register/product provisioning are setup operations and are not counted as selected FR-07 test cases. Valid JWT; empty cart; controlled product uses supplied Vietnamese name.</x:v>
      </x:c>
      <x:c r="H18" s="23" t="str">
        <x:v>{"id":14,"name":"Cà phê sữa đá – phiên bản đặc biệt","price":85000,"quantity":1}</x:v>
      </x:c>
      <x:c r="I18" s="23" t="str">
        <x:v>1. Establish Preconditions; setup APIs are not counted as the selected test case.
2. Send POST /api/cart with Authorization: Bearer {{userToken}} and Content-Type: application/json.
3. Use test data exactly as recorded: {"id":14,"name":"Cà phê sữa đá – phiên bản đặc biệt","price":85000,"quantity":1}.
4. Capture HTTP status, response headers, and raw body.
5. Use valid-token GET /api/cart to verify cart state; this verification call remains a selected FR-07 operation.
6. Apply oracle: Product added once at quantity 1; name preservation/normalization and GET field mapping are gaps.</x:v>
      </x:c>
      <x:c r="J18" s="23" t="str">
        <x:v>SPECIFICATION GAP — HUMAN DECISION REQUIRED: no success HTTP status is documented for this operation.</x:v>
      </x:c>
      <x:c r="K18" s="23" t="str">
        <x:v>Product added once at quantity 1; name preservation/normalization and GET field mapping are gaps.</x:v>
      </x:c>
      <x:c r="L18" s="23" t="str">
        <x:v>SPECIFICATION GAP — HUMAN DECISION REQUIRED: success top-level type, required/optional properties, property types, nullability, content type, and additionalProperties are not defined.</x:v>
      </x:c>
      <x:c r="M18" s="23" t="str">
        <x:v>TO DO HUMAN</x:v>
      </x:c>
      <x:c r="N18" s="23" t="str">
        <x:v>Pending human audit. Confirm matrix traceability and approve every SPECIFICATION GAP oracle before execution.</x:v>
      </x:c>
      <x:c r="O18" s="23"/>
      <x:c r="P18" s="23"/>
      <x:c r="Q18" s="23" t="str">
        <x:v>FR07-API-TC014 | Preserve a Vietnamese Unicode product name without inventing normalization rules</x:v>
      </x:c>
      <x:c r="R18" s="23"/>
      <x:c r="S18" s="23" t="str">
        <x:v>NOT RUN</x:v>
      </x:c>
      <x:c r="T18" s="23"/>
      <x:c r="U18" s="23" t="str">
        <x:v>Trace: Domain—Vietnamese Unicode/normalization; Security—SEC-04 context.</x:v>
      </x:c>
    </x:row>
    <x:row r="19" ht="140.39999389648438" hidden="0" customHeight="1">
      <x:c r="A19" s="23" t="str">
        <x:v>FR07-API-TC015</x:v>
      </x:c>
      <x:c r="B19" s="23" t="str">
        <x:v>FR-07</x:v>
      </x:c>
      <x:c r="C19" s="23" t="str">
        <x:v>POST /api/cart</x:v>
      </x:c>
      <x:c r="D19" s="23" t="str">
        <x:v>AI</x:v>
      </x:c>
      <x:c r="E19" s="23" t="str">
        <x:v>Domain</x:v>
      </x:c>
      <x:c r="F19" s="23" t="str">
        <x:v>Characterize an empty product name</x:v>
      </x:c>
      <x:c r="G19" s="23" t="str">
        <x:v>Backend is available; login/register/product provisioning are setup operations and are not counted as selected FR-07 test cases. Valid JWT; known baseline cart; product id 1 exists.</x:v>
      </x:c>
      <x:c r="H19" s="23" t="str">
        <x:v>{"id":1,"name":"","price":100000,"quantity":1}</x:v>
      </x:c>
      <x:c r="I19" s="23" t="str">
        <x:v>1. Establish Preconditions; setup APIs are not counted as the selected test case.
2. Send POST /api/cart with Authorization: Bearer {{userToken}} and Content-Type: application/json.
3. Use test data exactly as recorded: {"id":1,"name":"","price":100000,"quantity":1}.
4. Capture HTTP status, response headers, and raw body.
5. Use valid-token GET /api/cart to verify cart state; this verification call remains a selected FR-07 operation.
6. Apply oracle: Blank-name and server canonicalization behavior are unspecified.</x:v>
      </x:c>
      <x:c r="J19" s="23" t="str">
        <x:v>SPECIFICATION GAP — HUMAN DECISION REQUIRED: name requiredness/empty handling is not defined.</x:v>
      </x:c>
      <x:c r="K19" s="23" t="str">
        <x:v>Blank-name and server canonicalization behavior are unspecified.</x:v>
      </x:c>
      <x:c r="L19" s="23" t="str">
        <x:v>SPECIFICATION GAP — HUMAN DECISION REQUIRED: error content type, top-level shape, required/optional properties, types, nullability, and additionalProperties are not defined.</x:v>
      </x:c>
      <x:c r="M19" s="23" t="str">
        <x:v>TO DO HUMAN</x:v>
      </x:c>
      <x:c r="N19" s="23" t="str">
        <x:v>Pending human audit. Confirm matrix traceability and approve every SPECIFICATION GAP oracle before execution.</x:v>
      </x:c>
      <x:c r="O19" s="23"/>
      <x:c r="P19" s="23"/>
      <x:c r="Q19" s="23" t="str">
        <x:v>FR07-API-TC015 | Characterize an empty product name</x:v>
      </x:c>
      <x:c r="R19" s="23"/>
      <x:c r="S19" s="23" t="str">
        <x:v>NOT RUN</x:v>
      </x:c>
      <x:c r="T19" s="23"/>
      <x:c r="U19" s="23" t="str">
        <x:v>Trace: Domain—name empty/requiredness/canonical data gap.</x:v>
      </x:c>
    </x:row>
    <x:row r="20" ht="151.1999969482422" hidden="0" customHeight="1">
      <x:c r="A20" s="23" t="str">
        <x:v>FR07-API-TC016</x:v>
      </x:c>
      <x:c r="B20" s="23" t="str">
        <x:v>FR-07</x:v>
      </x:c>
      <x:c r="C20" s="23" t="str">
        <x:v>POST /api/cart</x:v>
      </x:c>
      <x:c r="D20" s="23" t="str">
        <x:v>AI</x:v>
      </x:c>
      <x:c r="E20" s="23" t="str">
        <x:v>Domain</x:v>
      </x:c>
      <x:c r="F20" s="23" t="str">
        <x:v>Characterize price supplied as a numeric string</x:v>
      </x:c>
      <x:c r="G20" s="23" t="str">
        <x:v>Backend is available; login/register/product provisioning are setup operations and are not counted as selected FR-07 test cases. Valid JWT; known baseline cart; product id 1 exists.</x:v>
      </x:c>
      <x:c r="H20" s="23" t="str">
        <x:v>{"id":1,"name":"Sản phẩm A","price":"100000","quantity":1}</x:v>
      </x:c>
      <x:c r="I20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A","price":"100000","quantity":1}.
4. Capture HTTP status, response headers, and raw body.
5. Use valid-token GET /api/cart to verify cart state; this verification call remains a selected FR-07 operation.
6. Apply oracle: Price type, range, coercion, precision, and authoritative source are unspecified.</x:v>
      </x:c>
      <x:c r="J20" s="23" t="str">
        <x:v>SPECIFICATION GAP — HUMAN DECISION REQUIRED: price type/coercion status is not defined.</x:v>
      </x:c>
      <x:c r="K20" s="23" t="str">
        <x:v>Price type, range, coercion, precision, and authoritative source are unspecified.</x:v>
      </x:c>
      <x:c r="L20" s="23" t="str">
        <x:v>SPECIFICATION GAP — HUMAN DECISION REQUIRED: error content type, top-level shape, required/optional properties, types, nullability, and additionalProperties are not defined.</x:v>
      </x:c>
      <x:c r="M20" s="23" t="str">
        <x:v>TO DO HUMAN</x:v>
      </x:c>
      <x:c r="N20" s="23" t="str">
        <x:v>Pending human audit. Confirm matrix traceability and approve every SPECIFICATION GAP oracle before execution.</x:v>
      </x:c>
      <x:c r="O20" s="23"/>
      <x:c r="P20" s="23"/>
      <x:c r="Q20" s="23" t="str">
        <x:v>FR07-API-TC016 | Characterize price supplied as a numeric string</x:v>
      </x:c>
      <x:c r="R20" s="23"/>
      <x:c r="S20" s="23" t="str">
        <x:v>NOT RUN</x:v>
      </x:c>
      <x:c r="T20" s="23"/>
      <x:c r="U20" s="23" t="str">
        <x:v>Trace: Domain—price wrong type; Contract—client-price authority gap.</x:v>
      </x:c>
    </x:row>
    <x:row r="21" ht="172.8000030517578" hidden="0" customHeight="1">
      <x:c r="A21" s="23" t="str">
        <x:v>FR07-API-TC017</x:v>
      </x:c>
      <x:c r="B21" s="23" t="str">
        <x:v>FR-07</x:v>
      </x:c>
      <x:c r="C21" s="23" t="str">
        <x:v>POST /api/cart</x:v>
      </x:c>
      <x:c r="D21" s="23" t="str">
        <x:v>AI</x:v>
      </x:c>
      <x:c r="E21" s="23" t="str">
        <x:v>Domain</x:v>
      </x:c>
      <x:c r="F21" s="23" t="str">
        <x:v>Characterize a benign extra POST property</x:v>
      </x:c>
      <x:c r="G21" s="23" t="str">
        <x:v>Backend is available; login/register/product provisioning are setup operations and are not counted as selected FR-07 test cases. Valid JWT; empty cart; product id 1 exists.</x:v>
      </x:c>
      <x:c r="H21" s="23" t="str">
        <x:v>{"id":1,"name":"Sản phẩm A","price":100000,"quantity":1,"client_note":"domain-extra"}</x:v>
      </x:c>
      <x:c r="I21" s="23" t="str">
        <x:v>1. Establish Preconditions; setup APIs are not counted as the selected test case.
2. Send POST /api/cart with Authorization: Bearer {{userToken}} and Content-Type: application/json.
3. Use test data exactly as recorded: {"id":1,"name":"Sản phẩm A","price":100000,"quantity":1,"client_note":"domain-extra"}.
4. Capture HTTP status, response headers, and raw body.
5. Use valid-token GET /api/cart to verify cart state; this verification call remains a selected FR-07 operation.
6. Apply oracle: Cart add semantics apply, but ignore/reject/preserve/reflect behavior for client_note is unspecified.</x:v>
      </x:c>
      <x:c r="J21" s="23" t="str">
        <x:v>SPECIFICATION GAP — HUMAN DECISION REQUIRED: extra-property handling/status is not defined.</x:v>
      </x:c>
      <x:c r="K21" s="23" t="str">
        <x:v>Cart add semantics apply, but ignore/reject/preserve/reflect behavior for client_note is unspecified.</x:v>
      </x:c>
      <x:c r="L21" s="23" t="str">
        <x:v>SPECIFICATION GAP — request additionalProperties and all POST response properties are undefined.</x:v>
      </x:c>
      <x:c r="M21" s="23" t="str">
        <x:v>TO DO HUMAN</x:v>
      </x:c>
      <x:c r="N21" s="23" t="str">
        <x:v>Pending human audit. Confirm matrix traceability and approve every SPECIFICATION GAP oracle before execution.</x:v>
      </x:c>
      <x:c r="O21" s="23"/>
      <x:c r="P21" s="23"/>
      <x:c r="Q21" s="23" t="str">
        <x:v>FR07-API-TC017 | Characterize a benign extra POST property</x:v>
      </x:c>
      <x:c r="R21" s="23"/>
      <x:c r="S21" s="23" t="str">
        <x:v>NOT RUN</x:v>
      </x:c>
      <x:c r="T21" s="23"/>
      <x:c r="U21" s="23" t="str">
        <x:v>Trace: Domain—extra POST property; Schema—additionalProperties gap.</x:v>
      </x:c>
    </x:row>
    <x:row r="22" ht="162" hidden="0" customHeight="1">
      <x:c r="A22" s="23" t="str">
        <x:v>FR07-API-TC018</x:v>
      </x:c>
      <x:c r="B22" s="23" t="str">
        <x:v>FR-07</x:v>
      </x:c>
      <x:c r="C22" s="23" t="str">
        <x:v>POST /api/cart</x:v>
      </x:c>
      <x:c r="D22" s="23" t="str">
        <x:v>AI</x:v>
      </x:c>
      <x:c r="E22" s="23" t="str">
        <x:v>Domain</x:v>
      </x:c>
      <x:c r="F22" s="23" t="str">
        <x:v>Characterize a JSON-shaped body sent with text/plain Content-Type</x:v>
      </x:c>
      <x:c r="G22" s="23" t="str">
        <x:v>Backend is available; login/register/product provisioning are setup operations and are not counted as selected FR-07 test cases. Valid JWT; known baseline cart; product id 1 exists.</x:v>
      </x:c>
      <x:c r="H22" s="23" t="str">
        <x:v>Content-Type: text/plain; body {"id":1,"name":"Sản phẩm A","price":100000,"quantity":1}</x:v>
      </x:c>
      <x:c r="I22" s="23" t="str">
        <x:v>1. Establish Preconditions; setup APIs are not counted as the selected test case.
2. Send POST /api/cart with Authorization: Bearer {{userToken}} and Content-Type: text/plain.
3. Use test data exactly as recorded: Content-Type: text/plain; body {"id":1,"name":"Sản phẩm A","price":100000,"quantity":1}.
4. Capture HTTP status, response headers, and raw body.
5. Use valid-token GET /api/cart to verify cart state; this verification call remains a selected FR-07 operation.
6. Apply oracle: Non-JSON media type is outside documented representation; reject/ignore/parse behavior unspecified.</x:v>
      </x:c>
      <x:c r="J22" s="23" t="str">
        <x:v>SPECIFICATION GAP — HUMAN DECISION REQUIRED: unsupported content-type status is not defined.</x:v>
      </x:c>
      <x:c r="K22" s="23" t="str">
        <x:v>Non-JSON media type is outside documented representation; reject/ignore/parse behavior unspecified.</x:v>
      </x:c>
      <x:c r="L22" s="23" t="str">
        <x:v>SPECIFICATION GAP — HUMAN DECISION REQUIRED: error content type, top-level shape, required/optional properties, types, nullability, and additionalProperties are not defined.</x:v>
      </x:c>
      <x:c r="M22" s="23" t="str">
        <x:v>TO DO HUMAN</x:v>
      </x:c>
      <x:c r="N22" s="23" t="str">
        <x:v>Pending human audit. Confirm matrix traceability and approve every SPECIFICATION GAP oracle before execution.</x:v>
      </x:c>
      <x:c r="O22" s="23"/>
      <x:c r="P22" s="23"/>
      <x:c r="Q22" s="23" t="str">
        <x:v>FR07-API-TC018 | Characterize a JSON-shaped body sent with text/plain Content-Type</x:v>
      </x:c>
      <x:c r="R22" s="23"/>
      <x:c r="S22" s="23" t="str">
        <x:v>NOT RUN</x:v>
      </x:c>
      <x:c r="T22" s="23"/>
      <x:c r="U22" s="23" t="str">
        <x:v>Trace: Domain—Content-Type partitions; Schema—media/error gap.</x:v>
      </x:c>
    </x:row>
    <x:row r="23" ht="162" hidden="0" customHeight="1">
      <x:c r="A23" s="23" t="str">
        <x:v>FR07-API-TC019</x:v>
      </x:c>
      <x:c r="B23" s="23" t="str">
        <x:v>FR-07</x:v>
      </x:c>
      <x:c r="C23" s="23" t="str">
        <x:v>POST /api/cart</x:v>
      </x:c>
      <x:c r="D23" s="23" t="str">
        <x:v>AI</x:v>
      </x:c>
      <x:c r="E23" s="23" t="str">
        <x:v>Domain</x:v>
      </x:c>
      <x:c r="F23" s="23" t="str">
        <x:v>Characterize malformed JSON without creating a cart mutation</x:v>
      </x:c>
      <x:c r="G23" s="23" t="str">
        <x:v>Backend is available; login/register/product provisioning are setup operations and are not counted as selected FR-07 test cases. Valid JWT; baseline cart captured.</x:v>
      </x:c>
      <x:c r="H23" s="23" t="str">
        <x:v>Raw malformed body: {"id":1,"name":"Sản phẩm A","price":100000,"quantity":1</x:v>
      </x:c>
      <x:c r="I23" s="23" t="str">
        <x:v>1. Establish Preconditions; setup APIs are not counted as the selected test case.
2. Send POST /api/cart with Authorization: Bearer {{userToken}} and Content-Type: application/json.
3. Use test data exactly as recorded: Raw malformed body: {"id":1,"name":"Sản phẩm A","price":100000,"quantity":1.
4. Capture HTTP status, response headers, and raw body.
5. Use valid-token GET /api/cart to verify cart state; this verification call remains a selected FR-07 operation.
6. Apply oracle: Malformed JSON must not produce the documented add transition; parser response unspecified.</x:v>
      </x:c>
      <x:c r="J23" s="23" t="str">
        <x:v>SPECIFICATION GAP — HUMAN DECISION REQUIRED: invalid-request HTTP status is not defined.</x:v>
      </x:c>
      <x:c r="K23" s="23" t="str">
        <x:v>Malformed JSON must not produce the documented add transition; parser response unspecified.</x:v>
      </x:c>
      <x:c r="L23" s="23" t="str">
        <x:v>SPECIFICATION GAP — HUMAN DECISION REQUIRED: error content type, top-level shape, required/optional properties, types, nullability, and additionalProperties are not defined.</x:v>
      </x:c>
      <x:c r="M23" s="23" t="str">
        <x:v>TO DO HUMAN</x:v>
      </x:c>
      <x:c r="N23" s="23" t="str">
        <x:v>Pending human audit. Confirm matrix traceability and approve every SPECIFICATION GAP oracle before execution.</x:v>
      </x:c>
      <x:c r="O23" s="23"/>
      <x:c r="P23" s="23"/>
      <x:c r="Q23" s="23" t="str">
        <x:v>FR07-API-TC019 | Characterize malformed JSON without creating a cart mutation</x:v>
      </x:c>
      <x:c r="R23" s="23"/>
      <x:c r="S23" s="23" t="str">
        <x:v>NOT RUN</x:v>
      </x:c>
      <x:c r="T23" s="23"/>
      <x:c r="U23" s="23" t="str">
        <x:v>Trace: Domain—malformed JSON; State—no valid add; Schema—error gap.</x:v>
      </x:c>
    </x:row>
    <x:row r="24" ht="140.39999389648438" hidden="0" customHeight="1">
      <x:c r="A24" s="23" t="str">
        <x:v>FR07-API-TC020</x:v>
      </x:c>
      <x:c r="B24" s="23" t="str">
        <x:v>FR-07</x:v>
      </x:c>
      <x:c r="C24" s="23" t="str">
        <x:v>POST /api/cart</x:v>
      </x:c>
      <x:c r="D24" s="23" t="str">
        <x:v>AI</x:v>
      </x:c>
      <x:c r="E24" s="23" t="str">
        <x:v>State</x:v>
      </x:c>
      <x:c r="F24" s="23" t="str">
        <x:v>Transition from empty S0 to one product row S1 and verify with GET</x:v>
      </x:c>
      <x:c r="G24" s="23" t="str">
        <x:v>Backend is available; login/register/product provisioning are setup operations and are not counted as selected FR-07 test cases. Disposable user JWT; cart S0; controlled product P; q=1.</x:v>
      </x:c>
      <x:c r="H24" s="23" t="str">
        <x:v>S0; P={"id":20,"name":"State P","price":120000}; q=1</x:v>
      </x:c>
      <x:c r="I24" s="23" t="str">
        <x:v>1. Establish Preconditions; setup APIs are not counted as the selected test case.
2. Send POST /api/cart with Authorization: Bearer {{userToken}} and Content-Type: application/json.
3. Use test data exactly as recorded: S0; P={"id":20,"name":"State P","price":120000}; q=1.
4. Capture HTTP status, response headers, and raw body.
5. Use valid-token GET /api/cart to verify cart state; this verification call remains a selected FR-07 operation.
6. Apply oracle: State oracle: S0→S1(P,1), exactly one P row.</x:v>
      </x:c>
      <x:c r="J24" s="23" t="str">
        <x:v>SPECIFICATION GAP — HUMAN DECISION REQUIRED: no success HTTP status is documented for this operation.</x:v>
      </x:c>
      <x:c r="K24" s="23" t="str">
        <x:v>State oracle: S0→S1(P,1), exactly one P row.</x:v>
      </x:c>
      <x:c r="L24" s="23" t="str">
        <x:v>SPECIFICATION GAP — HUMAN DECISION REQUIRED: success top-level type, required/optional properties, property types, nullability, content type, and additionalProperties are not defined.</x:v>
      </x:c>
      <x:c r="M24" s="23" t="str">
        <x:v>TO DO HUMAN</x:v>
      </x:c>
      <x:c r="N24" s="23" t="str">
        <x:v>Pending human audit. Confirm matrix traceability and approve every SPECIFICATION GAP oracle before execution.</x:v>
      </x:c>
      <x:c r="O24" s="23"/>
      <x:c r="P24" s="23"/>
      <x:c r="Q24" s="23" t="str">
        <x:v>FR07-API-TC020 | Transition from empty S0 to one product row S1 and verify with GET</x:v>
      </x:c>
      <x:c r="R24" s="23"/>
      <x:c r="S24" s="23" t="str">
        <x:v>NOT RUN</x:v>
      </x:c>
      <x:c r="T24" s="23"/>
      <x:c r="U24" s="23" t="str">
        <x:v>Trace: State—primary S0→S1 and GET verification.</x:v>
      </x:c>
    </x:row>
    <x:row r="25" ht="86.4000015258789" hidden="0" customHeight="1">
      <x:c r="A25" s="23" t="str">
        <x:v>FR07-API-TC021</x:v>
      </x:c>
      <x:c r="B25" s="23" t="str">
        <x:v>FR-07</x:v>
      </x:c>
      <x:c r="C25" s="23" t="str">
        <x:v>GET /api/cart</x:v>
      </x:c>
      <x:c r="D25" s="23" t="str">
        <x:v>AI</x:v>
      </x:c>
      <x:c r="E25" s="23" t="str">
        <x:v>State</x:v>
      </x:c>
      <x:c r="F25" s="23" t="str">
        <x:v>Preserve S0 when retrieving an empty cart</x:v>
      </x:c>
      <x:c r="G25" s="23" t="str">
        <x:v>Backend is available; login/register/product provisioning are setup operations and are not counted as selected FR-07 test cases. Valid JWT; cart is known S0.</x:v>
      </x:c>
      <x:c r="H25" s="23" t="str">
        <x:v>Initial state S0</x:v>
      </x:c>
      <x:c r="I25" s="23" t="str">
        <x:v>1. Establish Preconditions; setup APIs are not counted as the selected test case.
2. Send GET /api/cart with Authorization: Bearer {{userToken}}.
3. Capture HTTP status, response headers, and raw body.
4. Apply oracle: State oracle: S0→S0; GET introduces no product rows.</x:v>
      </x:c>
      <x:c r="J25" s="23" t="str">
        <x:v>SPECIFICATION GAP — HUMAN DECISION REQUIRED: no success HTTP status is documented for this operation.</x:v>
      </x:c>
      <x:c r="K25" s="23" t="str">
        <x:v>State oracle: S0→S0; GET introduces no product rows.</x:v>
      </x:c>
      <x:c r="L25" s="23" t="str">
        <x:v>SPECIFICATION GAP — HUMAN DECISION REQUIRED: GET top-level representation, item fields/types, ordering, nullability, content type, and additionalProperties are not defined.</x:v>
      </x:c>
      <x:c r="M25" s="23" t="str">
        <x:v>TO DO HUMAN</x:v>
      </x:c>
      <x:c r="N25" s="23" t="str">
        <x:v>Pending human audit. Confirm matrix traceability and approve every SPECIFICATION GAP oracle before execution.</x:v>
      </x:c>
      <x:c r="O25" s="23"/>
      <x:c r="P25" s="23"/>
      <x:c r="Q25" s="23" t="str">
        <x:v>FR07-API-TC021 | Preserve S0 when retrieving an empty cart</x:v>
      </x:c>
      <x:c r="R25" s="23"/>
      <x:c r="S25" s="23" t="str">
        <x:v>NOT RUN</x:v>
      </x:c>
      <x:c r="T25" s="23"/>
      <x:c r="U25" s="23" t="str">
        <x:v>Trace: State—S0 GET state-preserving; Schema—empty gap.</x:v>
      </x:c>
    </x:row>
    <x:row r="26" ht="86.4000015258789" hidden="0" customHeight="1">
      <x:c r="A26" s="23" t="str">
        <x:v>FR07-API-TC022</x:v>
      </x:c>
      <x:c r="B26" s="23" t="str">
        <x:v>FR-07</x:v>
      </x:c>
      <x:c r="C26" s="23" t="str">
        <x:v>GET /api/cart</x:v>
      </x:c>
      <x:c r="D26" s="23" t="str">
        <x:v>AI</x:v>
      </x:c>
      <x:c r="E26" s="23" t="str">
        <x:v>State</x:v>
      </x:c>
      <x:c r="F26" s="23" t="str">
        <x:v>Preserve a known one-product state S1(P,q) during retrieval</x:v>
      </x:c>
      <x:c r="G26" s="23" t="str">
        <x:v>Backend is available; login/register/product provisioning are setup operations and are not counted as selected FR-07 test cases. Valid JWT; prior POST established S1(P,2).</x:v>
      </x:c>
      <x:c r="H26" s="23" t="str">
        <x:v>Initial state S1(P,2)</x:v>
      </x:c>
      <x:c r="I26" s="23" t="str">
        <x:v>1. Establish Preconditions; setup APIs are not counted as the selected test case.
2. Send GET /api/cart with Authorization: Bearer {{userToken}}.
3. Capture HTTP status, response headers, and raw body.
4. Apply oracle: State oracle: S1(P,2)→S1(P,2); ordering irrelevant.</x:v>
      </x:c>
      <x:c r="J26" s="23" t="str">
        <x:v>SPECIFICATION GAP — HUMAN DECISION REQUIRED: no success HTTP status is documented for this operation.</x:v>
      </x:c>
      <x:c r="K26" s="23" t="str">
        <x:v>State oracle: S1(P,2)→S1(P,2); ordering irrelevant.</x:v>
      </x:c>
      <x:c r="L26" s="23" t="str">
        <x:v>SPECIFICATION GAP — HUMAN DECISION REQUIRED: GET top-level representation, item fields/types, ordering, nullability, content type, and additionalProperties are not defined.</x:v>
      </x:c>
      <x:c r="M26" s="23" t="str">
        <x:v>TO DO HUMAN</x:v>
      </x:c>
      <x:c r="N26" s="23" t="str">
        <x:v>Pending human audit. Confirm matrix traceability and approve every SPECIFICATION GAP oracle before execution.</x:v>
      </x:c>
      <x:c r="O26" s="23"/>
      <x:c r="P26" s="23"/>
      <x:c r="Q26" s="23" t="str">
        <x:v>FR07-API-TC022 | Preserve a known one-product state S1(P,q) during retrieval</x:v>
      </x:c>
      <x:c r="R26" s="23"/>
      <x:c r="S26" s="23" t="str">
        <x:v>NOT RUN</x:v>
      </x:c>
      <x:c r="T26" s="23"/>
      <x:c r="U26" s="23" t="str">
        <x:v>Trace: State—S1 GET state-preserving.</x:v>
      </x:c>
    </x:row>
    <x:row r="27" ht="151.1999969482422" hidden="0" customHeight="1">
      <x:c r="A27" s="23" t="str">
        <x:v>FR07-API-TC023</x:v>
      </x:c>
      <x:c r="B27" s="23" t="str">
        <x:v>FR-07</x:v>
      </x:c>
      <x:c r="C27" s="23" t="str">
        <x:v>POST /api/cart</x:v>
      </x:c>
      <x:c r="D27" s="23" t="str">
        <x:v>AI</x:v>
      </x:c>
      <x:c r="E27" s="23" t="str">
        <x:v>State</x:v>
      </x:c>
      <x:c r="F27" s="23" t="str">
        <x:v>Add the same product with minimum increment and keep one row</x:v>
      </x:c>
      <x:c r="G27" s="23" t="str">
        <x:v>Backend is available; login/register/product provisioning are setup operations and are not counted as selected FR-07 test cases. Valid JWT; S1(P,1); same-product identity fixture unambiguous.</x:v>
      </x:c>
      <x:c r="H27" s="23" t="str">
        <x:v>S1(P,1); add {"id":23,"name":"Duplicate P","price":130000,"quantity":1}</x:v>
      </x:c>
      <x:c r="I27" s="23" t="str">
        <x:v>1. Establish Preconditions; setup APIs are not counted as the selected test case.
2. Send POST /api/cart with Authorization: Bearer {{userToken}} and Content-Type: application/json.
3. Use test data exactly as recorded: S1(P,1); add {"id":23,"name":"Duplicate P","price":130000,"quantity":1}.
4. Capture HTTP status, response headers, and raw body.
5. Use valid-token GET /api/cart to verify cart state; this verification call remains a selected FR-07 operation.
6. Apply oracle: Required oracle: one P row remains and quantity becomes 2.</x:v>
      </x:c>
      <x:c r="J27" s="23" t="str">
        <x:v>SPECIFICATION GAP — HUMAN DECISION REQUIRED: no success HTTP status is documented for this operation.</x:v>
      </x:c>
      <x:c r="K27" s="23" t="str">
        <x:v>Required oracle: one P row remains and quantity becomes 2.</x:v>
      </x:c>
      <x:c r="L27" s="23" t="str">
        <x:v>SPECIFICATION GAP — HUMAN DECISION REQUIRED: success top-level type, required/optional properties, property types, nullability, content type, and additionalProperties are not defined.</x:v>
      </x:c>
      <x:c r="M27" s="23" t="str">
        <x:v>TO DO HUMAN</x:v>
      </x:c>
      <x:c r="N27" s="23" t="str">
        <x:v>Pending human audit. Confirm matrix traceability and approve every SPECIFICATION GAP oracle before execution.</x:v>
      </x:c>
      <x:c r="O27" s="23"/>
      <x:c r="P27" s="23"/>
      <x:c r="Q27" s="23" t="str">
        <x:v>FR07-API-TC023 | Add the same product with minimum increment and keep one row</x:v>
      </x:c>
      <x:c r="R27" s="23"/>
      <x:c r="S27" s="23" t="str">
        <x:v>NOT RUN</x:v>
      </x:c>
      <x:c r="T27" s="23"/>
      <x:c r="U27" s="23" t="str">
        <x:v>Trace: State—duplicate add; Domain—minimum increment 1.</x:v>
      </x:c>
    </x:row>
    <x:row r="28" ht="172.8000030517578" hidden="0" customHeight="1">
      <x:c r="A28" s="23" t="str">
        <x:v>FR07-API-TC024</x:v>
      </x:c>
      <x:c r="B28" s="23" t="str">
        <x:v>FR-07</x:v>
      </x:c>
      <x:c r="C28" s="23" t="str">
        <x:v>POST /api/cart</x:v>
      </x:c>
      <x:c r="D28" s="23" t="str">
        <x:v>AI</x:v>
      </x:c>
      <x:c r="E28" s="23" t="str">
        <x:v>State</x:v>
      </x:c>
      <x:c r="F28" s="23" t="str">
        <x:v>Increase an existing product by a multi-unit quantity without a duplicate row</x:v>
      </x:c>
      <x:c r="G28" s="23" t="str">
        <x:v>Backend is available; login/register/product provisioning are setup operations and are not counted as selected FR-07 test cases. Valid JWT; S1(P,2); add same P with d=3.</x:v>
      </x:c>
      <x:c r="H28" s="23" t="str">
        <x:v>S1(P,2); add {"id":24,"name":"Duplicate Multi P","price":140000,"quantity":3}</x:v>
      </x:c>
      <x:c r="I28" s="23" t="str">
        <x:v>1. Establish Preconditions; setup APIs are not counted as the selected test case.
2. Send POST /api/cart with Authorization: Bearer {{userToken}} and Content-Type: application/json.
3. Use test data exactly as recorded: S1(P,2); add {"id":24,"name":"Duplicate Multi P","price":140000,"quantity":3}.
4. Capture HTTP status, response headers, and raw body.
5. Use valid-token GET /api/cart to verify cart state; this verification call remains a selected FR-07 operation.
6. Apply oracle: Accepted oracle: one P row, quantity 2→5; formal increment-versus-replacement semantics need human approval.</x:v>
      </x:c>
      <x:c r="J28" s="23" t="str">
        <x:v>SPECIFICATION GAP — HUMAN DECISION REQUIRED: no success HTTP status is documented for this operation.</x:v>
      </x:c>
      <x:c r="K28" s="23" t="str">
        <x:v>Accepted oracle: one P row, quantity 2→5; formal increment-versus-replacement semantics need human approval.</x:v>
      </x:c>
      <x:c r="L28" s="23" t="str">
        <x:v>SPECIFICATION GAP — HUMAN DECISION REQUIRED: success top-level type, required/optional properties, property types, nullability, content type, and additionalProperties are not defined.</x:v>
      </x:c>
      <x:c r="M28" s="23" t="str">
        <x:v>TO DO HUMAN</x:v>
      </x:c>
      <x:c r="N28" s="23" t="str">
        <x:v>Pending human audit. Confirm matrix traceability and approve every SPECIFICATION GAP oracle before execution.</x:v>
      </x:c>
      <x:c r="O28" s="23"/>
      <x:c r="P28" s="23"/>
      <x:c r="Q28" s="23" t="str">
        <x:v>FR07-API-TC024 | Increase an existing product by a multi-unit quantity without a duplicate row</x:v>
      </x:c>
      <x:c r="R28" s="23"/>
      <x:c r="S28" s="23" t="str">
        <x:v>NOT RUN</x:v>
      </x:c>
      <x:c r="T28" s="23"/>
      <x:c r="U28" s="23" t="str">
        <x:v>Trace: State—duplicate add by d; Contract—increment semantics gap.</x:v>
      </x:c>
    </x:row>
    <x:row r="29" ht="151.1999969482422" hidden="0" customHeight="1">
      <x:c r="A29" s="23" t="str">
        <x:v>FR07-API-TC025</x:v>
      </x:c>
      <x:c r="B29" s="23" t="str">
        <x:v>FR-07</x:v>
      </x:c>
      <x:c r="C29" s="23" t="str">
        <x:v>POST /api/cart</x:v>
      </x:c>
      <x:c r="D29" s="23" t="str">
        <x:v>AI</x:v>
      </x:c>
      <x:c r="E29" s="23" t="str">
        <x:v>State</x:v>
      </x:c>
      <x:c r="F29" s="23" t="str">
        <x:v>Add a clearly different product to transition from S1 to S2</x:v>
      </x:c>
      <x:c r="G29" s="23" t="str">
        <x:v>Backend is available; login/register/product provisioning are setup operations and are not counted as selected FR-07 test cases. Valid JWT; S1(P,1); distinct existing Q with unambiguous id.</x:v>
      </x:c>
      <x:c r="H29" s="23" t="str">
        <x:v>S1(P,1); Q={"id":2502,"name":"Distinct Q","price":220000,"quantity":2}</x:v>
      </x:c>
      <x:c r="I29" s="23" t="str">
        <x:v>1. Establish Preconditions; setup APIs are not counted as the selected test case.
2. Send POST /api/cart with Authorization: Bearer {{userToken}} and Content-Type: application/json.
3. Use test data exactly as recorded: S1(P,1); Q={"id":2502,"name":"Distinct Q","price":220000,"quantity":2}.
4. Capture HTTP status, response headers, and raw body.
5. Use valid-token GET /api/cart to verify cart state; this verification call remains a selected FR-07 operation.
6. Apply oracle: State oracle: S1(P,1)→S2({P:1,Q:2}); P unchanged, Q once.</x:v>
      </x:c>
      <x:c r="J29" s="23" t="str">
        <x:v>SPECIFICATION GAP — HUMAN DECISION REQUIRED: no success HTTP status is documented for this operation.</x:v>
      </x:c>
      <x:c r="K29" s="23" t="str">
        <x:v>State oracle: S1(P,1)→S2({P:1,Q:2}); P unchanged, Q once.</x:v>
      </x:c>
      <x:c r="L29" s="23" t="str">
        <x:v>SPECIFICATION GAP — HUMAN DECISION REQUIRED: success top-level type, required/optional properties, property types, nullability, content type, and additionalProperties are not defined.</x:v>
      </x:c>
      <x:c r="M29" s="23" t="str">
        <x:v>TO DO HUMAN</x:v>
      </x:c>
      <x:c r="N29" s="23" t="str">
        <x:v>Pending human audit. Confirm matrix traceability and approve every SPECIFICATION GAP oracle before execution.</x:v>
      </x:c>
      <x:c r="O29" s="23"/>
      <x:c r="P29" s="23"/>
      <x:c r="Q29" s="23" t="str">
        <x:v>FR07-API-TC025 | Add a clearly different product to transition from S1 to S2</x:v>
      </x:c>
      <x:c r="R29" s="23"/>
      <x:c r="S29" s="23" t="str">
        <x:v>NOT RUN</x:v>
      </x:c>
      <x:c r="T29" s="23"/>
      <x:c r="U29" s="23" t="str">
        <x:v>Trace: State—S1→S2 distinct product.</x:v>
      </x:c>
    </x:row>
    <x:row r="30" ht="162" hidden="0" customHeight="1">
      <x:c r="A30" s="23" t="str">
        <x:v>FR07-API-TC026</x:v>
      </x:c>
      <x:c r="B30" s="23" t="str">
        <x:v>FR-07</x:v>
      </x:c>
      <x:c r="C30" s="23" t="str">
        <x:v>POST /api/cart</x:v>
      </x:c>
      <x:c r="D30" s="23" t="str">
        <x:v>AI</x:v>
      </x:c>
      <x:c r="E30" s="23" t="str">
        <x:v>State</x:v>
      </x:c>
      <x:c r="F30" s="23" t="str">
        <x:v>Increase one existing product inside a multi-item cart without changing others</x:v>
      </x:c>
      <x:c r="G30" s="23" t="str">
        <x:v>Backend is available; login/register/product provisioning are setup operations and are not counted as selected FR-07 test cases. Valid JWT; S2({P:1,Q:2}); add same P with d=2.</x:v>
      </x:c>
      <x:c r="H30" s="23" t="str">
        <x:v>S2({P:1,Q:2}); add {"id":2601,"name":"Multi P","price":150000,"quantity":2}</x:v>
      </x:c>
      <x:c r="I30" s="23" t="str">
        <x:v>1. Establish Preconditions; setup APIs are not counted as the selected test case.
2. Send POST /api/cart with Authorization: Bearer {{userToken}} and Content-Type: application/json.
3. Use test data exactly as recorded: S2({P:1,Q:2}); add {"id":2601,"name":"Multi P","price":150000,"quantity":2}.
4. Capture HTTP status, response headers, and raw body.
5. Use valid-token GET /api/cart to verify cart state; this verification call remains a selected FR-07 operation.
6. Apply oracle: State oracle: S2({P:1,Q:2})→S2({P:3,Q:2}); only P changes; no duplicate row.</x:v>
      </x:c>
      <x:c r="J30" s="23" t="str">
        <x:v>SPECIFICATION GAP — HUMAN DECISION REQUIRED: no success HTTP status is documented for this operation.</x:v>
      </x:c>
      <x:c r="K30" s="23" t="str">
        <x:v>State oracle: S2({P:1,Q:2})→S2({P:3,Q:2}); only P changes; no duplicate row.</x:v>
      </x:c>
      <x:c r="L30" s="23" t="str">
        <x:v>SPECIFICATION GAP — HUMAN DECISION REQUIRED: success top-level type, required/optional properties, property types, nullability, content type, and additionalProperties are not defined.</x:v>
      </x:c>
      <x:c r="M30" s="23" t="str">
        <x:v>TO DO HUMAN</x:v>
      </x:c>
      <x:c r="N30" s="23" t="str">
        <x:v>Pending human audit. Confirm matrix traceability and approve every SPECIFICATION GAP oracle before execution.</x:v>
      </x:c>
      <x:c r="O30" s="23"/>
      <x:c r="P30" s="23"/>
      <x:c r="Q30" s="23" t="str">
        <x:v>FR07-API-TC026 | Increase one existing product inside a multi-item cart without changing others</x:v>
      </x:c>
      <x:c r="R30" s="23"/>
      <x:c r="S30" s="23" t="str">
        <x:v>NOT RUN</x:v>
      </x:c>
      <x:c r="T30" s="23"/>
      <x:c r="U30" s="23" t="str">
        <x:v>Trace: State—duplicate add within S2.</x:v>
      </x:c>
    </x:row>
    <x:row r="31" ht="151.1999969482422" hidden="0" customHeight="1">
      <x:c r="A31" s="23" t="str">
        <x:v>FR07-API-TC027</x:v>
      </x:c>
      <x:c r="B31" s="23" t="str">
        <x:v>FR-07</x:v>
      </x:c>
      <x:c r="C31" s="23" t="str">
        <x:v>POST /api/cart</x:v>
      </x:c>
      <x:c r="D31" s="23" t="str">
        <x:v>AI</x:v>
      </x:c>
      <x:c r="E31" s="23" t="str">
        <x:v>State</x:v>
      </x:c>
      <x:c r="F31" s="23" t="str">
        <x:v>Preserve S1 when a zero-quantity add event is invalid</x:v>
      </x:c>
      <x:c r="G31" s="23" t="str">
        <x:v>Backend is available; login/register/product provisioning are setup operations and are not counted as selected FR-07 test cases. Valid JWT; S1(P,2); absent product Q controlled.</x:v>
      </x:c>
      <x:c r="H31" s="23" t="str">
        <x:v>S1(P,2); Q={"id":2702,"name":"Invalid Q","price":170000,"quantity":0}</x:v>
      </x:c>
      <x:c r="I31" s="23" t="str">
        <x:v>1. Establish Preconditions; setup APIs are not counted as the selected test case.
2. Send POST /api/cart with Authorization: Bearer {{userToken}} and Content-Type: application/json.
3. Use test data exactly as recorded: S1(P,2); Q={"id":2702,"name":"Invalid Q","price":170000,"quantity":0}.
4. Capture HTTP status, response headers, and raw body.
5. Use valid-token GET /api/cart to verify cart state; this verification call remains a selected FR-07 operation.
6. Apply oracle: State oracle: S1(P,2) remains unchanged and Q is not added.</x:v>
      </x:c>
      <x:c r="J31" s="23" t="str">
        <x:v>SPECIFICATION GAP — HUMAN DECISION REQUIRED: invalid-request HTTP status is not defined.</x:v>
      </x:c>
      <x:c r="K31" s="23" t="str">
        <x:v>State oracle: S1(P,2) remains unchanged and Q is not added.</x:v>
      </x:c>
      <x:c r="L31" s="23" t="str">
        <x:v>SPECIFICATION GAP — HUMAN DECISION REQUIRED: error content type, top-level shape, required/optional properties, types, nullability, and additionalProperties are not defined.</x:v>
      </x:c>
      <x:c r="M31" s="23" t="str">
        <x:v>TO DO HUMAN</x:v>
      </x:c>
      <x:c r="N31" s="23" t="str">
        <x:v>Pending human audit. Confirm matrix traceability and approve every SPECIFICATION GAP oracle before execution.</x:v>
      </x:c>
      <x:c r="O31" s="23"/>
      <x:c r="P31" s="23"/>
      <x:c r="Q31" s="23" t="str">
        <x:v>FR07-API-TC027 | Preserve S1 when a zero-quantity add event is invalid</x:v>
      </x:c>
      <x:c r="R31" s="23"/>
      <x:c r="S31" s="23" t="str">
        <x:v>NOT RUN</x:v>
      </x:c>
      <x:c r="T31" s="23"/>
      <x:c r="U31" s="23" t="str">
        <x:v>Trace: State—invalid quantity preserves state; Domain—0 boundary.</x:v>
      </x:c>
    </x:row>
    <x:row r="32" ht="86.4000015258789" hidden="0" customHeight="1">
      <x:c r="A32" s="23" t="str">
        <x:v>FR07-API-TC028</x:v>
      </x:c>
      <x:c r="B32" s="23" t="str">
        <x:v>FR-07</x:v>
      </x:c>
      <x:c r="C32" s="23" t="str">
        <x:v>GET /api/cart</x:v>
      </x:c>
      <x:c r="D32" s="23" t="str">
        <x:v>AI</x:v>
      </x:c>
      <x:c r="E32" s="23" t="str">
        <x:v>Security</x:v>
      </x:c>
      <x:c r="F32" s="23" t="str">
        <x:v>Prevent cart disclosure when Authorization is missing</x:v>
      </x:c>
      <x:c r="G32" s="23" t="str">
        <x:v>Backend is available; login/register/product provisioning are setup operations and are not counted as selected FR-07 test cases. Protected non-empty cart exists; header intentionally omitted.</x:v>
      </x:c>
      <x:c r="H32" s="23" t="str">
        <x:v>Authorization: omitted</x:v>
      </x:c>
      <x:c r="I32" s="23" t="str">
        <x:v>1. Establish Preconditions; setup APIs are not counted as the selected test case.
2. Send GET /api/cart with Authorization: &lt;omitted&gt;.
3. Capture HTTP status, response headers, and raw body.
4. Apply oracle: No protected cart data disclosure; exact rejection response unspecified.</x:v>
      </x:c>
      <x:c r="J32" s="23" t="str">
        <x:v>SPECIFICATION GAP — HUMAN DECISION REQUIRED: authentication rejection status is not defined; do not assume 401 versus 403.</x:v>
      </x:c>
      <x:c r="K32" s="23" t="str">
        <x:v>No protected cart data disclosure; exact rejection response unspecified.</x:v>
      </x:c>
      <x:c r="L32" s="23" t="str">
        <x:v>SPECIFICATION GAP — HUMAN DECISION REQUIRED: error content type, top-level shape, required/optional properties, types, nullability, and additionalProperties are not defined.</x:v>
      </x:c>
      <x:c r="M32" s="23" t="str">
        <x:v>TO DO HUMAN</x:v>
      </x:c>
      <x:c r="N32" s="23" t="str">
        <x:v>Pending human audit. Confirm matrix traceability and approve every SPECIFICATION GAP oracle before execution.</x:v>
      </x:c>
      <x:c r="O32" s="23"/>
      <x:c r="P32" s="23"/>
      <x:c r="Q32" s="23" t="str">
        <x:v>FR07-API-TC028 | Prevent cart disclosure when Authorization is missing</x:v>
      </x:c>
      <x:c r="R32" s="23"/>
      <x:c r="S32" s="23" t="str">
        <x:v>NOT RUN</x:v>
      </x:c>
      <x:c r="T32" s="23"/>
      <x:c r="U32" s="23" t="str">
        <x:v>Trace: Security—SEC-02 and missing authorization.</x:v>
      </x:c>
    </x:row>
    <x:row r="33" ht="162" hidden="0" customHeight="1">
      <x:c r="A33" s="23" t="str">
        <x:v>FR07-API-TC029</x:v>
      </x:c>
      <x:c r="B33" s="23" t="str">
        <x:v>FR-07</x:v>
      </x:c>
      <x:c r="C33" s="23" t="str">
        <x:v>POST /api/cart</x:v>
      </x:c>
      <x:c r="D33" s="23" t="str">
        <x:v>AI</x:v>
      </x:c>
      <x:c r="E33" s="23" t="str">
        <x:v>Security</x:v>
      </x:c>
      <x:c r="F33" s="23" t="str">
        <x:v>Prevent cart mutation when Authorization is missing</x:v>
      </x:c>
      <x:c r="G33" s="23" t="str">
        <x:v>Backend is available; login/register/product provisioning are setup operations and are not counted as selected FR-07 test cases. Valid-token baseline captured; target POST omits Authorization.</x:v>
      </x:c>
      <x:c r="H33" s="23" t="str">
        <x:v>{"id":1,"name":"Unauthorized Add","price":100000,"quantity":1}; Authorization omitted</x:v>
      </x:c>
      <x:c r="I33" s="23" t="str">
        <x:v>1. Establish Preconditions; setup APIs are not counted as the selected test case.
2. Send POST /api/cart with Authorization: &lt;omitted&gt; and Content-Type: application/json.
3. Use test data exactly as recorded: {"id":1,"name":"Unauthorized Add","price":100000,"quantity":1}; Authorization omitted.
4. Capture HTTP status, response headers, and raw body.
5. Use valid-token GET /api/cart to verify cart state; this verification call remains a selected FR-07 operation.
6. Apply oracle: No cart mutation under missing authorization; verify afterward with valid JWT.</x:v>
      </x:c>
      <x:c r="J33" s="23" t="str">
        <x:v>SPECIFICATION GAP — HUMAN DECISION REQUIRED: authentication rejection status is not defined; do not assume 401 versus 403.</x:v>
      </x:c>
      <x:c r="K33" s="23" t="str">
        <x:v>No cart mutation under missing authorization; verify afterward with valid JWT.</x:v>
      </x:c>
      <x:c r="L33" s="23" t="str">
        <x:v>SPECIFICATION GAP — HUMAN DECISION REQUIRED: error content type, top-level shape, required/optional properties, types, nullability, and additionalProperties are not defined.</x:v>
      </x:c>
      <x:c r="M33" s="23" t="str">
        <x:v>TO DO HUMAN</x:v>
      </x:c>
      <x:c r="N33" s="23" t="str">
        <x:v>Pending human audit. Confirm matrix traceability and approve every SPECIFICATION GAP oracle before execution.</x:v>
      </x:c>
      <x:c r="O33" s="23"/>
      <x:c r="P33" s="23"/>
      <x:c r="Q33" s="23" t="str">
        <x:v>FR07-API-TC029 | Prevent cart mutation when Authorization is missing</x:v>
      </x:c>
      <x:c r="R33" s="23"/>
      <x:c r="S33" s="23" t="str">
        <x:v>NOT RUN</x:v>
      </x:c>
      <x:c r="T33" s="23"/>
      <x:c r="U33" s="23" t="str">
        <x:v>Trace: Security—SEC-02/missing authorization; State—preservation.</x:v>
      </x:c>
    </x:row>
    <x:row r="34" ht="86.4000015258789" hidden="0" customHeight="1">
      <x:c r="A34" s="23" t="str">
        <x:v>FR07-API-TC030</x:v>
      </x:c>
      <x:c r="B34" s="23" t="str">
        <x:v>FR-07</x:v>
      </x:c>
      <x:c r="C34" s="23" t="str">
        <x:v>GET /api/cart</x:v>
      </x:c>
      <x:c r="D34" s="23" t="str">
        <x:v>AI</x:v>
      </x:c>
      <x:c r="E34" s="23" t="str">
        <x:v>Security</x:v>
      </x:c>
      <x:c r="F34" s="23" t="str">
        <x:v>Prevent disclosure with a signature-tampered JWT</x:v>
      </x:c>
      <x:c r="G34" s="23" t="str">
        <x:v>Backend is available; login/register/product provisioning are setup operations and are not counted as selected FR-07 test cases. Protected non-empty cart exists; valid JWT altered without re-signing.</x:v>
      </x:c>
      <x:c r="H34" s="23" t="str">
        <x:v>Authorization: Bearer {{tamperedUserToken}}</x:v>
      </x:c>
      <x:c r="I34" s="23" t="str">
        <x:v>1. Establish Preconditions; setup APIs are not counted as the selected test case.
2. Send GET /api/cart with Authorization: Bearer {{tamperedUserToken}}.
3. Capture HTTP status, response headers, and raw body.
4. Apply oracle: Tampered JWT must not disclose protected cart data.</x:v>
      </x:c>
      <x:c r="J34" s="23" t="str">
        <x:v>SPECIFICATION GAP — HUMAN DECISION REQUIRED: authentication rejection status is not defined; do not assume 401 versus 403.</x:v>
      </x:c>
      <x:c r="K34" s="23" t="str">
        <x:v>Tampered JWT must not disclose protected cart data.</x:v>
      </x:c>
      <x:c r="L34" s="23" t="str">
        <x:v>SPECIFICATION GAP — HUMAN DECISION REQUIRED: error content type, top-level shape, required/optional properties, types, nullability, and additionalProperties are not defined.</x:v>
      </x:c>
      <x:c r="M34" s="23" t="str">
        <x:v>TO DO HUMAN</x:v>
      </x:c>
      <x:c r="N34" s="23" t="str">
        <x:v>Pending human audit. Confirm matrix traceability and approve every SPECIFICATION GAP oracle before execution.</x:v>
      </x:c>
      <x:c r="O34" s="23"/>
      <x:c r="P34" s="23"/>
      <x:c r="Q34" s="23" t="str">
        <x:v>FR07-API-TC030 | Prevent disclosure with a signature-tampered JWT</x:v>
      </x:c>
      <x:c r="R34" s="23"/>
      <x:c r="S34" s="23" t="str">
        <x:v>NOT RUN</x:v>
      </x:c>
      <x:c r="T34" s="23"/>
      <x:c r="U34" s="23" t="str">
        <x:v>Trace: Security—tampered JWT; SEC-02.</x:v>
      </x:c>
    </x:row>
    <x:row r="35" ht="172.8000030517578" hidden="0" customHeight="1">
      <x:c r="A35" s="23" t="str">
        <x:v>FR07-API-TC031</x:v>
      </x:c>
      <x:c r="B35" s="23" t="str">
        <x:v>FR-07</x:v>
      </x:c>
      <x:c r="C35" s="23" t="str">
        <x:v>POST /api/cart</x:v>
      </x:c>
      <x:c r="D35" s="23" t="str">
        <x:v>AI</x:v>
      </x:c>
      <x:c r="E35" s="23" t="str">
        <x:v>Security</x:v>
      </x:c>
      <x:c r="F35" s="23" t="str">
        <x:v>Prevent mutation with an expired JWT</x:v>
      </x:c>
      <x:c r="G35" s="23" t="str">
        <x:v>Backend is available; login/register/product provisioning are setup operations and are not counted as selected FR-07 test cases. Valid-token baseline captured; expired JWT for same identity available.</x:v>
      </x:c>
      <x:c r="H35" s="23" t="str">
        <x:v>{"id":1,"name":"Expired Token Add","price":100000,"quantity":1}; Authorization: Bearer {{expiredUserToken}}</x:v>
      </x:c>
      <x:c r="I35" s="23" t="str">
        <x:v>1. Establish Preconditions; setup APIs are not counted as the selected test case.
2. Send POST /api/cart with Authorization: Bearer {{expiredUserToken}} and Content-Type: application/json.
3. Use test data exactly as recorded: {"id":1,"name":"Expired Token Add","price":100000,"quantity":1}; Authorization: Bearer {{expiredUserToken}}.
4. Capture HTTP status, response headers, and raw body.
5. Use valid-token GET /api/cart to verify cart state; this verification call remains a selected FR-07 operation.
6. Apply oracle: Expired JWT does not authorize add; original cart remains unchanged.</x:v>
      </x:c>
      <x:c r="J35" s="23" t="str">
        <x:v>SPECIFICATION GAP — HUMAN DECISION REQUIRED: authentication rejection status is not defined; do not assume 401 versus 403.</x:v>
      </x:c>
      <x:c r="K35" s="23" t="str">
        <x:v>Expired JWT does not authorize add; original cart remains unchanged.</x:v>
      </x:c>
      <x:c r="L35" s="23" t="str">
        <x:v>SPECIFICATION GAP — HUMAN DECISION REQUIRED: error content type, top-level shape, required/optional properties, types, nullability, and additionalProperties are not defined.</x:v>
      </x:c>
      <x:c r="M35" s="23" t="str">
        <x:v>TO DO HUMAN</x:v>
      </x:c>
      <x:c r="N35" s="23" t="str">
        <x:v>Pending human audit. Confirm matrix traceability and approve every SPECIFICATION GAP oracle before execution.</x:v>
      </x:c>
      <x:c r="O35" s="23"/>
      <x:c r="P35" s="23"/>
      <x:c r="Q35" s="23" t="str">
        <x:v>FR07-API-TC031 | Prevent mutation with an expired JWT</x:v>
      </x:c>
      <x:c r="R35" s="23"/>
      <x:c r="S35" s="23" t="str">
        <x:v>NOT RUN</x:v>
      </x:c>
      <x:c r="T35" s="23"/>
      <x:c r="U35" s="23" t="str">
        <x:v>Trace: Security—expired JWT; State—invalid auth preserves state.</x:v>
      </x:c>
    </x:row>
    <x:row r="36" ht="86.4000015258789" hidden="0" customHeight="1">
      <x:c r="A36" s="23" t="str">
        <x:v>FR07-API-TC032</x:v>
      </x:c>
      <x:c r="B36" s="23" t="str">
        <x:v>FR-07</x:v>
      </x:c>
      <x:c r="C36" s="23" t="str">
        <x:v>GET /api/cart</x:v>
      </x:c>
      <x:c r="D36" s="23" t="str">
        <x:v>AI</x:v>
      </x:c>
      <x:c r="E36" s="23" t="str">
        <x:v>Security</x:v>
      </x:c>
      <x:c r="F36" s="23" t="str">
        <x:v>Characterize admin-token behavior without inventing cart role semantics</x:v>
      </x:c>
      <x:c r="G36" s="23" t="str">
        <x:v>Backend is available; login/register/product provisioning are setup operations and are not counted as selected FR-07 test cases. Normal user token and valid admin token exist; ordinary user cart known.</x:v>
      </x:c>
      <x:c r="H36" s="23" t="str">
        <x:v>Authorization: Bearer {{adminToken}}</x:v>
      </x:c>
      <x:c r="I36" s="23" t="str">
        <x:v>1. Establish Preconditions; setup APIs are not counted as the selected test case.
2. Send GET /api/cart with Authorization: Bearer {{adminToken}}.
3. Capture HTTP status, response headers, and raw body.
4. Apply oracle: Record accept/reject and isolation; do not invent admin personal-cart semantics.</x:v>
      </x:c>
      <x:c r="J36" s="23" t="str">
        <x:v>SPECIFICATION GAP — HUMAN DECISION REQUIRED: admin-token outcome for a user cart is not defined.</x:v>
      </x:c>
      <x:c r="K36" s="23" t="str">
        <x:v>Record accept/reject and isolation; do not invent admin personal-cart semantics.</x:v>
      </x:c>
      <x:c r="L36" s="23" t="str">
        <x:v>SPECIFICATION GAP — HUMAN DECISION REQUIRED: GET top-level representation, item fields/types, ordering, nullability, content type, and additionalProperties are not defined.</x:v>
      </x:c>
      <x:c r="M36" s="23" t="str">
        <x:v>TO DO HUMAN</x:v>
      </x:c>
      <x:c r="N36" s="23" t="str">
        <x:v>Pending human audit. Confirm matrix traceability and approve every SPECIFICATION GAP oracle before execution.</x:v>
      </x:c>
      <x:c r="O36" s="23"/>
      <x:c r="P36" s="23"/>
      <x:c r="Q36" s="23" t="str">
        <x:v>FR07-API-TC032 | Characterize admin-token behavior without inventing cart role semantics</x:v>
      </x:c>
      <x:c r="R36" s="23"/>
      <x:c r="S36" s="23" t="str">
        <x:v>NOT RUN</x:v>
      </x:c>
      <x:c r="T36" s="23"/>
      <x:c r="U36" s="23" t="str">
        <x:v>Trace: Security—user versus admin token; ownership gap.</x:v>
      </x:c>
    </x:row>
    <x:row r="37" ht="97.19999694824219" hidden="0" customHeight="1">
      <x:c r="A37" s="23" t="str">
        <x:v>FR07-API-TC033</x:v>
      </x:c>
      <x:c r="B37" s="23" t="str">
        <x:v>FR-07</x:v>
      </x:c>
      <x:c r="C37" s="23" t="str">
        <x:v>GET /api/cart</x:v>
      </x:c>
      <x:c r="D37" s="23" t="str">
        <x:v>AI</x:v>
      </x:c>
      <x:c r="E37" s="23" t="str">
        <x:v>Security</x:v>
      </x:c>
      <x:c r="F37" s="23" t="str">
        <x:v>Probe cross-user cart isolation with two user tokens</x:v>
      </x:c>
      <x:c r="G37" s="23" t="str">
        <x:v>Backend is available; login/register/product provisioning are setup operations and are not counted as selected FR-07 test cases. Users A/B have distinct valid JWTs and distinct known carts.</x:v>
      </x:c>
      <x:c r="H37" s="23" t="str">
        <x:v>{{userAToken}}, {{userBToken}}; A={PA}; B={PB}</x:v>
      </x:c>
      <x:c r="I37" s="23" t="str">
        <x:v>1. Establish distinct carts for users A and B using setup plus selected POST calls.
2. Send GET /api/cart as A; capture status, headers, and body.
3. Send GET /api/cart as B; capture status, headers, and body.
4. Apply oracle: Security-review oracle: A must not receive B cart data and vice versa; ownership key remains a gap.</x:v>
      </x:c>
      <x:c r="J37" s="23" t="str">
        <x:v>SPECIFICATION GAP — HUMAN DECISION REQUIRED: ownership/isolation response contract is not explicit.</x:v>
      </x:c>
      <x:c r="K37" s="23" t="str">
        <x:v>Security-review oracle: A must not receive B cart data and vice versa; ownership key remains a gap.</x:v>
      </x:c>
      <x:c r="L37" s="23" t="str">
        <x:v>SPECIFICATION GAP — no cart ownership fields or GET item schema are documented.</x:v>
      </x:c>
      <x:c r="M37" s="23" t="str">
        <x:v>TO DO HUMAN</x:v>
      </x:c>
      <x:c r="N37" s="23" t="str">
        <x:v>Pending human audit. Confirm matrix traceability and approve every SPECIFICATION GAP oracle before execution.</x:v>
      </x:c>
      <x:c r="O37" s="23"/>
      <x:c r="P37" s="23"/>
      <x:c r="Q37" s="23" t="str">
        <x:v>FR07-API-TC033 | Probe cross-user cart isolation with two user tokens</x:v>
      </x:c>
      <x:c r="R37" s="23"/>
      <x:c r="S37" s="23" t="str">
        <x:v>NOT RUN</x:v>
      </x:c>
      <x:c r="T37" s="23"/>
      <x:c r="U37" s="23" t="str">
        <x:v>Trace: Security—IDOR/cross-user access; State—ownership gap.</x:v>
      </x:c>
    </x:row>
    <x:row r="38" ht="162" hidden="0" customHeight="1">
      <x:c r="A38" s="23" t="str">
        <x:v>FR07-API-TC034</x:v>
      </x:c>
      <x:c r="B38" s="23" t="str">
        <x:v>FR-07</x:v>
      </x:c>
      <x:c r="C38" s="23" t="str">
        <x:v>POST /api/cart</x:v>
      </x:c>
      <x:c r="D38" s="23" t="str">
        <x:v>AI</x:v>
      </x:c>
      <x:c r="E38" s="23" t="str">
        <x:v>Security</x:v>
      </x:c>
      <x:c r="F38" s="23" t="str">
        <x:v>Probe SQL injection without treating API behavior as proof of parameterization</x:v>
      </x:c>
      <x:c r="G38" s="23" t="str">
        <x:v>Backend is available; login/register/product provisioning are setup operations and are not counted as selected FR-07 test cases. Valid JWT; baseline cart and authorized integrity inspection available.</x:v>
      </x:c>
      <x:c r="H38" s="23" t="str">
        <x:v>{"id":34,"name":"x' OR 1=1 --","price":100000,"quantity":1}</x:v>
      </x:c>
      <x:c r="I38" s="23" t="str">
        <x:v>1. Establish Preconditions; setup APIs are not counted as the selected test case.
2. Send POST /api/cart with Authorization: Bearer {{userToken}} and Content-Type: application/json.
3. Use test data exactly as recorded: {"id":34,"name":"x' OR 1=1 --","price":100000,"quantity":1}.
4. Capture HTTP status, response headers, and raw body.
5. Use valid-token GET /api/cart to verify cart state; this verification call remains a selected FR-07 operation.
6. Apply oracle: Payload is data and causes no unintended query/disclosure/schema/cross-cart effect; direct proof requires code/query review.</x:v>
      </x:c>
      <x:c r="J38" s="23" t="str">
        <x:v>SPECIFICATION GAP — HUMAN DECISION REQUIRED: safe-storage versus rejection status is not defined.</x:v>
      </x:c>
      <x:c r="K38" s="23" t="str">
        <x:v>Payload is data and causes no unintended query/disclosure/schema/cross-cart effect; direct proof requires code/query review.</x:v>
      </x:c>
      <x:c r="L38" s="23" t="str">
        <x:v>SPECIFICATION GAP — HUMAN DECISION REQUIRED: success top-level type, required/optional properties, property types, nullability, content type, and additionalProperties are not defined.</x:v>
      </x:c>
      <x:c r="M38" s="23" t="str">
        <x:v>TO DO HUMAN</x:v>
      </x:c>
      <x:c r="N38" s="23" t="str">
        <x:v>Pending human audit. Confirm matrix traceability and approve every SPECIFICATION GAP oracle before execution.</x:v>
      </x:c>
      <x:c r="O38" s="23"/>
      <x:c r="P38" s="23"/>
      <x:c r="Q38" s="23" t="str">
        <x:v>FR07-API-TC034 | Probe SQL injection without treating API behavior as proof of parameterization</x:v>
      </x:c>
      <x:c r="R38" s="23"/>
      <x:c r="S38" s="23" t="str">
        <x:v>NOT RUN</x:v>
      </x:c>
      <x:c r="T38" s="23"/>
      <x:c r="U38" s="23" t="str">
        <x:v>Trace: Security—SEC-05/SQL injection not directly testable; Domain—name gap.</x:v>
      </x:c>
    </x:row>
    <x:row r="39" ht="162" hidden="0" customHeight="1">
      <x:c r="A39" s="23" t="str">
        <x:v>FR07-API-TC035</x:v>
      </x:c>
      <x:c r="B39" s="23" t="str">
        <x:v>FR-07</x:v>
      </x:c>
      <x:c r="C39" s="23" t="str">
        <x:v>POST /api/cart</x:v>
      </x:c>
      <x:c r="D39" s="23" t="str">
        <x:v>AI</x:v>
      </x:c>
      <x:c r="E39" s="23" t="str">
        <x:v>Security</x:v>
      </x:c>
      <x:c r="F39" s="23" t="str">
        <x:v>Probe stored XSS safety through a client-supplied product name</x:v>
      </x:c>
      <x:c r="G39" s="23" t="str">
        <x:v>Backend is available; login/register/product provisioning are setup operations and are not counted as selected FR-07 test cases. Valid JWT; downstream UI/rendering inspection available.</x:v>
      </x:c>
      <x:c r="H39" s="23" t="str">
        <x:v>{"id":35,"name":"&lt;img src=x onerror=alert(1)&gt;","price":100000,"quantity":1}</x:v>
      </x:c>
      <x:c r="I39" s="23" t="str">
        <x:v>1. Establish Preconditions; setup APIs are not counted as the selected test case.
2. Send POST /api/cart with Authorization: Bearer {{userToken}} and Content-Type: application/json.
3. Use test data exactly as recorded: {"id":35,"name":"&lt;img src=x onerror=alert(1)&gt;","price":100000,"quantity":1}.
4. Capture HTTP status, response headers, and raw body.
5. Use valid-token GET /api/cart to verify cart state; this verification call remains a selected FR-07 operation.
6. Apply oracle: No script execution in downstream rendering; API reject/store/normalize behavior unspecified.</x:v>
      </x:c>
      <x:c r="J39" s="23" t="str">
        <x:v>SPECIFICATION GAP — HUMAN DECISION REQUIRED: XSS-like input reject/store status is not defined.</x:v>
      </x:c>
      <x:c r="K39" s="23" t="str">
        <x:v>No script execution in downstream rendering; API reject/store/normalize behavior unspecified.</x:v>
      </x:c>
      <x:c r="L39" s="23" t="str">
        <x:v>SPECIFICATION GAP — HUMAN DECISION REQUIRED: success top-level type, required/optional properties, property types, nullability, content type, and additionalProperties are not defined.</x:v>
      </x:c>
      <x:c r="M39" s="23" t="str">
        <x:v>TO DO HUMAN</x:v>
      </x:c>
      <x:c r="N39" s="23" t="str">
        <x:v>Pending human audit. Confirm matrix traceability and approve every SPECIFICATION GAP oracle before execution.</x:v>
      </x:c>
      <x:c r="O39" s="23"/>
      <x:c r="P39" s="23"/>
      <x:c r="Q39" s="23" t="str">
        <x:v>FR07-API-TC035 | Probe stored XSS safety through a client-supplied product name</x:v>
      </x:c>
      <x:c r="R39" s="23"/>
      <x:c r="S39" s="23" t="str">
        <x:v>NOT RUN</x:v>
      </x:c>
      <x:c r="T39" s="23"/>
      <x:c r="U39" s="23" t="str">
        <x:v>Trace: Security—SEC-04/stored XSS not directly testable.</x:v>
      </x:c>
    </x:row>
    <x:row r="40" ht="172.8000030517578" hidden="0" customHeight="1">
      <x:c r="A40" s="23" t="str">
        <x:v>FR07-API-TC036</x:v>
      </x:c>
      <x:c r="B40" s="23" t="str">
        <x:v>FR-07</x:v>
      </x:c>
      <x:c r="C40" s="23" t="str">
        <x:v>POST /api/cart</x:v>
      </x:c>
      <x:c r="D40" s="23" t="str">
        <x:v>AI</x:v>
      </x:c>
      <x:c r="E40" s="23" t="str">
        <x:v>Security</x:v>
      </x:c>
      <x:c r="F40" s="23" t="str">
        <x:v>Probe mass assignment with owner, role, and derived-total fields</x:v>
      </x:c>
      <x:c r="G40" s="23" t="str">
        <x:v>Backend is available; login/register/product provisioning are setup operations and are not counted as selected FR-07 test cases. Valid JWT; baseline identity/cart captured; authorized hidden-state inspection available.</x:v>
      </x:c>
      <x:c r="H40" s="23" t="str">
        <x:v>{"id":36,"name":"Mass Assignment","price":100000,"quantity":1,"user_id":999,"role":"admin","total_amount":1}</x:v>
      </x:c>
      <x:c r="I40" s="23" t="str">
        <x:v>1. Establish Preconditions; setup APIs are not counted as the selected test case.
2. Send POST /api/cart with Authorization: Bearer {{userToken}} and Content-Type: application/json.
3. Use test data exactly as recorded: {"id":36,"name":"Mass Assignment","price":100000,"quantity":1,"user_id":999,"role":"admin","total_amount":1}.
4. Capture HTTP status, response headers, and raw body.
5. Use valid-token GET /api/cart to verify cart state; this verification call remains a selected FR-07 operation.
6. Apply oracle: Extra fields must not change protected ownership/role/internal totals; reject-versus-ignore is a gap.</x:v>
      </x:c>
      <x:c r="J40" s="23" t="str">
        <x:v>SPECIFICATION GAP — HUMAN DECISION REQUIRED: sensitive extra-property handling/status is not defined.</x:v>
      </x:c>
      <x:c r="K40" s="23" t="str">
        <x:v>Extra fields must not change protected ownership/role/internal totals; reject-versus-ignore is a gap.</x:v>
      </x:c>
      <x:c r="L40" s="23" t="str">
        <x:v>SPECIFICATION GAP — request additionalProperties/allowlist and response fields are undefined.</x:v>
      </x:c>
      <x:c r="M40" s="23" t="str">
        <x:v>TO DO HUMAN</x:v>
      </x:c>
      <x:c r="N40" s="23" t="str">
        <x:v>Pending human audit. Confirm matrix traceability and approve every SPECIFICATION GAP oracle before execution.</x:v>
      </x:c>
      <x:c r="O40" s="23"/>
      <x:c r="P40" s="23"/>
      <x:c r="Q40" s="23" t="str">
        <x:v>FR07-API-TC036 | Probe mass assignment with owner, role, and derived-total fields</x:v>
      </x:c>
      <x:c r="R40" s="23"/>
      <x:c r="S40" s="23" t="str">
        <x:v>NOT RUN</x:v>
      </x:c>
      <x:c r="T40" s="23"/>
      <x:c r="U40" s="23" t="str">
        <x:v>Trace: Security—mass assignment/role escalation; Domain—extra fields.</x:v>
      </x:c>
    </x:row>
    <x:row r="41" ht="151.1999969482422" hidden="0" customHeight="1">
      <x:c r="A41" s="23" t="str">
        <x:v>FR07-API-TC037</x:v>
      </x:c>
      <x:c r="B41" s="23" t="str">
        <x:v>FR-07</x:v>
      </x:c>
      <x:c r="C41" s="23" t="str">
        <x:v>POST /api/cart</x:v>
      </x:c>
      <x:c r="D41" s="23" t="str">
        <x:v>AI</x:v>
      </x:c>
      <x:c r="E41" s="23" t="str">
        <x:v>Security</x:v>
      </x:c>
      <x:c r="F41" s="23" t="str">
        <x:v>Ensure a wrong HTTP method does not perform the add transition</x:v>
      </x:c>
      <x:c r="G41" s="23" t="str">
        <x:v>Backend is available; login/register/product provisioning are setup operations and are not counted as selected FR-07 test cases. Valid JWT; baseline cart captured; product 37 exists.</x:v>
      </x:c>
      <x:c r="H41" s="23" t="str">
        <x:v>Actual probe PUT /api/cart; body {"id":37,"name":"Wrong Method","price":100000,"quantity":1}</x:v>
      </x:c>
      <x:c r="I41" s="23" t="str">
        <x:v>1. Establish Preconditions; setup APIs are not counted as the selected test case.
2. Send PUT /api/cart with Authorization: Bearer {{userToken}} and Content-Type: application/json.
3. Use test data exactly as recorded: Actual probe PUT /api/cart; body {"id":37,"name":"Wrong Method","price":100000,"quantity":1}.
4. Capture HTTP status, response headers, and raw body.
5. Use valid-token GET /api/cart to verify cart state; this verification call remains a selected FR-07 operation.
6. Apply oracle: Wrong method must not cause POST add mutation; exact response unspecified.</x:v>
      </x:c>
      <x:c r="J41" s="23" t="str">
        <x:v>SPECIFICATION GAP — HUMAN DECISION REQUIRED: wrong-method status is not defined; do not assume 404 versus 405.</x:v>
      </x:c>
      <x:c r="K41" s="23" t="str">
        <x:v>Wrong method must not cause POST add mutation; exact response unspecified.</x:v>
      </x:c>
      <x:c r="L41" s="23" t="str">
        <x:v>SPECIFICATION GAP — HUMAN DECISION REQUIRED: error content type, top-level shape, required/optional properties, types, nullability, and additionalProperties are not defined.</x:v>
      </x:c>
      <x:c r="M41" s="23" t="str">
        <x:v>TO DO HUMAN</x:v>
      </x:c>
      <x:c r="N41" s="23" t="str">
        <x:v>Pending human audit. Confirm matrix traceability and approve every SPECIFICATION GAP oracle before execution.</x:v>
      </x:c>
      <x:c r="O41" s="23"/>
      <x:c r="P41" s="23"/>
      <x:c r="Q41" s="23" t="str">
        <x:v>FR07-API-TC037 | Ensure a wrong HTTP method does not perform the add transition</x:v>
      </x:c>
      <x:c r="R41" s="23"/>
      <x:c r="S41" s="23" t="str">
        <x:v>NOT RUN</x:v>
      </x:c>
      <x:c r="T41" s="23"/>
      <x:c r="U41" s="23" t="str">
        <x:v>Trace: Security—wrong method; Domain—only GET/POST documented.</x:v>
      </x:c>
    </x:row>
    <x:row r="42" ht="97.19999694824219" hidden="0" customHeight="1">
      <x:c r="A42" s="23" t="str">
        <x:v>FR07-API-TC038</x:v>
      </x:c>
      <x:c r="B42" s="23" t="str">
        <x:v>FR-07</x:v>
      </x:c>
      <x:c r="C42" s="23" t="str">
        <x:v>GET /api/cart</x:v>
      </x:c>
      <x:c r="D42" s="23" t="str">
        <x:v>AI</x:v>
      </x:c>
      <x:c r="E42" s="23" t="str">
        <x:v>Schema</x:v>
      </x:c>
      <x:c r="F42" s="23" t="str">
        <x:v>Characterize GET success top-level representation and Content-Type</x:v>
      </x:c>
      <x:c r="G42" s="23" t="str">
        <x:v>Backend is available; login/register/product provisioning are setup operations and are not counted as selected FR-07 test cases. Valid JWT; known non-empty S1 cart.</x:v>
      </x:c>
      <x:c r="H42" s="23" t="str">
        <x:v>Authorization: Bearer {{userToken}}; S1(P,1)</x:v>
      </x:c>
      <x:c r="I42" s="23" t="str">
        <x:v>1. Establish Preconditions; setup APIs are not counted as the selected test case.
2. Send GET /api/cart with Authorization: Bearer {{userToken}}.
3. Capture HTTP status, response headers, and raw body.
4. Apply oracle: Cart semantics observable; top-level representation and Content-Type remain unspecified.</x:v>
      </x:c>
      <x:c r="J42" s="23" t="str">
        <x:v>SPECIFICATION GAP — HUMAN DECISION REQUIRED: no success HTTP status is documented for this operation.</x:v>
      </x:c>
      <x:c r="K42" s="23" t="str">
        <x:v>Cart semantics observable; top-level representation and Content-Type remain unspecified.</x:v>
      </x:c>
      <x:c r="L42" s="23" t="str">
        <x:v>SPECIFICATION GAP — GET top-level type, response Content-Type, charset, and negotiation are not documented.</x:v>
      </x:c>
      <x:c r="M42" s="23" t="str">
        <x:v>TO DO HUMAN</x:v>
      </x:c>
      <x:c r="N42" s="23" t="str">
        <x:v>Pending human audit. Confirm matrix traceability and approve every SPECIFICATION GAP oracle before execution.</x:v>
      </x:c>
      <x:c r="O42" s="23"/>
      <x:c r="P42" s="23"/>
      <x:c r="Q42" s="23" t="str">
        <x:v>FR07-API-TC038 | Characterize GET success top-level representation and Content-Type</x:v>
      </x:c>
      <x:c r="R42" s="23"/>
      <x:c r="S42" s="23" t="str">
        <x:v>NOT RUN</x:v>
      </x:c>
      <x:c r="T42" s="23"/>
      <x:c r="U42" s="23" t="str">
        <x:v>Trace: Schema—GET status/content type/top-level type.</x:v>
      </x:c>
    </x:row>
    <x:row r="43" ht="97.19999694824219" hidden="0" customHeight="1">
      <x:c r="A43" s="23" t="str">
        <x:v>FR07-API-TC039</x:v>
      </x:c>
      <x:c r="B43" s="23" t="str">
        <x:v>FR-07</x:v>
      </x:c>
      <x:c r="C43" s="23" t="str">
        <x:v>GET /api/cart</x:v>
      </x:c>
      <x:c r="D43" s="23" t="str">
        <x:v>AI</x:v>
      </x:c>
      <x:c r="E43" s="23" t="str">
        <x:v>Schema</x:v>
      </x:c>
      <x:c r="F43" s="23" t="str">
        <x:v>Characterize GET item required properties and property types</x:v>
      </x:c>
      <x:c r="G43" s="23" t="str">
        <x:v>Backend is available; login/register/product provisioning are setup operations and are not counted as selected FR-07 test cases. Valid JWT; known S1 contains controlled P at quantity 2.</x:v>
      </x:c>
      <x:c r="H43" s="23" t="str">
        <x:v>P={id:39,name:'Schema P',price:190000,quantity:2}</x:v>
      </x:c>
      <x:c r="I43" s="23" t="str">
        <x:v>1. Establish Preconditions; setup APIs are not counted as the selected test case.
2. Send GET /api/cart with Authorization: Bearer {{userToken}}.
3. Capture HTTP status, response headers, and raw body.
4. Apply oracle: One semantic P row at quantity 2; request-example names are not assumed as GET fields.</x:v>
      </x:c>
      <x:c r="J43" s="23" t="str">
        <x:v>SPECIFICATION GAP — HUMAN DECISION REQUIRED: no success HTTP status is documented for this operation.</x:v>
      </x:c>
      <x:c r="K43" s="23" t="str">
        <x:v>One semantic P row at quantity 2; request-example names are not assumed as GET fields.</x:v>
      </x:c>
      <x:c r="L43" s="23" t="str">
        <x:v>SPECIFICATION GAP — array/item schema, required fields, types, nullability, identity, ordering, and additionalProperties are undefined.</x:v>
      </x:c>
      <x:c r="M43" s="23" t="str">
        <x:v>TO DO HUMAN</x:v>
      </x:c>
      <x:c r="N43" s="23" t="str">
        <x:v>Pending human audit. Confirm matrix traceability and approve every SPECIFICATION GAP oracle before execution.</x:v>
      </x:c>
      <x:c r="O43" s="23"/>
      <x:c r="P43" s="23"/>
      <x:c r="Q43" s="23" t="str">
        <x:v>FR07-API-TC039 | Characterize GET item required properties and property types</x:v>
      </x:c>
      <x:c r="R43" s="23"/>
      <x:c r="S43" s="23" t="str">
        <x:v>NOT RUN</x:v>
      </x:c>
      <x:c r="T43" s="23"/>
      <x:c r="U43" s="23" t="str">
        <x:v>Trace: Schema—GET required properties/types/array-item schema.</x:v>
      </x:c>
    </x:row>
    <x:row r="44" ht="97.19999694824219" hidden="0" customHeight="1">
      <x:c r="A44" s="23" t="str">
        <x:v>FR07-API-TC040</x:v>
      </x:c>
      <x:c r="B44" s="23" t="str">
        <x:v>FR-07</x:v>
      </x:c>
      <x:c r="C44" s="23" t="str">
        <x:v>GET /api/cart</x:v>
      </x:c>
      <x:c r="D44" s="23" t="str">
        <x:v>AI</x:v>
      </x:c>
      <x:c r="E44" s="23" t="str">
        <x:v>Schema</x:v>
      </x:c>
      <x:c r="F44" s="23" t="str">
        <x:v>Characterize empty-cart representation without assuming [] or 204</x:v>
      </x:c>
      <x:c r="G44" s="23" t="str">
        <x:v>Backend is available; login/register/product provisioning are setup operations and are not counted as selected FR-07 test cases. Valid JWT; cart known S0/empty.</x:v>
      </x:c>
      <x:c r="H44" s="23" t="str">
        <x:v>Known state S0</x:v>
      </x:c>
      <x:c r="I44" s="23" t="str">
        <x:v>1. Establish Preconditions; setup APIs are not counted as the selected test case.
2. Send GET /api/cart with Authorization: Bearer {{userToken}}.
3. Capture HTTP status, response headers, and raw body.
4. Apply oracle: No product rows; array/object/wrapper/null/empty-body representation unspecified.</x:v>
      </x:c>
      <x:c r="J44" s="23" t="str">
        <x:v>SPECIFICATION GAP — HUMAN DECISION REQUIRED: no success HTTP status is documented for this operation.</x:v>
      </x:c>
      <x:c r="K44" s="23" t="str">
        <x:v>No product rows; array/object/wrapper/null/empty-body representation unspecified.</x:v>
      </x:c>
      <x:c r="L44" s="23" t="str">
        <x:v>SPECIFICATION GAP — empty-cart top-level type, body presence, item count, and fields are undefined.</x:v>
      </x:c>
      <x:c r="M44" s="23" t="str">
        <x:v>TO DO HUMAN</x:v>
      </x:c>
      <x:c r="N44" s="23" t="str">
        <x:v>Pending human audit. Confirm matrix traceability and approve every SPECIFICATION GAP oracle before execution.</x:v>
      </x:c>
      <x:c r="O44" s="23"/>
      <x:c r="P44" s="23"/>
      <x:c r="Q44" s="23" t="str">
        <x:v>FR07-API-TC040 | Characterize empty-cart representation without assuming [] or 204</x:v>
      </x:c>
      <x:c r="R44" s="23"/>
      <x:c r="S44" s="23" t="str">
        <x:v>NOT RUN</x:v>
      </x:c>
      <x:c r="T44" s="23"/>
      <x:c r="U44" s="23" t="str">
        <x:v>Trace: Schema—GET empty representation/array schema; State—S0.</x:v>
      </x:c>
    </x:row>
    <x:row r="45" ht="162" hidden="0" customHeight="1">
      <x:c r="A45" s="23" t="str">
        <x:v>FR07-API-TC041</x:v>
      </x:c>
      <x:c r="B45" s="23" t="str">
        <x:v>FR-07</x:v>
      </x:c>
      <x:c r="C45" s="23" t="str">
        <x:v>POST /api/cart</x:v>
      </x:c>
      <x:c r="D45" s="23" t="str">
        <x:v>AI</x:v>
      </x:c>
      <x:c r="E45" s="23" t="str">
        <x:v>Schema</x:v>
      </x:c>
      <x:c r="F45" s="23" t="str">
        <x:v>Characterize POST success response without requiring a message field</x:v>
      </x:c>
      <x:c r="G45" s="23" t="str">
        <x:v>Backend is available; login/register/product provisioning are setup operations and are not counted as selected FR-07 test cases. Valid JWT; empty cart; controlled product 41 exists.</x:v>
      </x:c>
      <x:c r="H45" s="23" t="str">
        <x:v>{"id":41,"name":"Schema POST P","price":210000,"quantity":1}</x:v>
      </x:c>
      <x:c r="I45" s="23" t="str">
        <x:v>1. Establish Preconditions; setup APIs are not counted as the selected test case.
2. Send POST /api/cart with Authorization: Bearer {{userToken}} and Content-Type: application/json.
3. Use test data exactly as recorded: {"id":41,"name":"Schema POST P","price":210000,"quantity":1}.
4. Capture HTTP status, response headers, and raw body.
5. Use valid-token GET /api/cart to verify cart state; this verification call remains a selected FR-07 operation.
6. Apply oracle: Product added once and verified by GET; no POST message/item/cart/id field is specified.</x:v>
      </x:c>
      <x:c r="J45" s="23" t="str">
        <x:v>SPECIFICATION GAP — HUMAN DECISION REQUIRED: no success HTTP status is documented for this operation.</x:v>
      </x:c>
      <x:c r="K45" s="23" t="str">
        <x:v>Product added once and verified by GET; no POST message/item/cart/id field is specified.</x:v>
      </x:c>
      <x:c r="L45" s="23" t="str">
        <x:v>SPECIFICATION GAP — POST status/content type/top-level type/required/types/optional/additional fields are undefined.</x:v>
      </x:c>
      <x:c r="M45" s="23" t="str">
        <x:v>TO DO HUMAN</x:v>
      </x:c>
      <x:c r="N45" s="23" t="str">
        <x:v>Pending human audit. Confirm matrix traceability and approve every SPECIFICATION GAP oracle before execution.</x:v>
      </x:c>
      <x:c r="O45" s="23"/>
      <x:c r="P45" s="23"/>
      <x:c r="Q45" s="23" t="str">
        <x:v>FR07-API-TC041 | Characterize POST success response without requiring a message field</x:v>
      </x:c>
      <x:c r="R45" s="23"/>
      <x:c r="S45" s="23" t="str">
        <x:v>NOT RUN</x:v>
      </x:c>
      <x:c r="T45" s="23"/>
      <x:c r="U45" s="23" t="str">
        <x:v>Trace: Schema—POST success response matrix.</x:v>
      </x:c>
    </x:row>
    <x:row r="46" ht="97.19999694824219" hidden="0" customHeight="1">
      <x:c r="A46" s="23" t="str">
        <x:v>FR07-API-TC042</x:v>
      </x:c>
      <x:c r="B46" s="23" t="str">
        <x:v>FR-07</x:v>
      </x:c>
      <x:c r="C46" s="23" t="str">
        <x:v>GET /api/cart</x:v>
      </x:c>
      <x:c r="D46" s="23" t="str">
        <x:v>AI</x:v>
      </x:c>
      <x:c r="E46" s="23" t="str">
        <x:v>Schema</x:v>
      </x:c>
      <x:c r="F46" s="23" t="str">
        <x:v>Characterize authentication error Content-Type and shape</x:v>
      </x:c>
      <x:c r="G46" s="23" t="str">
        <x:v>Backend is available; login/register/product provisioning are setup operations and are not counted as selected FR-07 test cases. Protected cart exists; request uses known-invalid JWT.</x:v>
      </x:c>
      <x:c r="H46" s="23" t="str">
        <x:v>Authorization: Bearer invalid.jwt.value</x:v>
      </x:c>
      <x:c r="I46" s="23" t="str">
        <x:v>1. Establish Preconditions; setup APIs are not counted as the selected test case.
2. Send GET /api/cart with Authorization: Bearer invalid.jwt.value.
3. Capture HTTP status, response headers, and raw body.
4. Apply oracle: No protected cart data; rejection status/content type/body fields/headers unspecified.</x:v>
      </x:c>
      <x:c r="J46" s="23" t="str">
        <x:v>SPECIFICATION GAP — HUMAN DECISION REQUIRED: authentication rejection status is not defined; do not assume 401 versus 403.</x:v>
      </x:c>
      <x:c r="K46" s="23" t="str">
        <x:v>No protected cart data; rejection status/content type/body fields/headers unspecified.</x:v>
      </x:c>
      <x:c r="L46" s="23" t="str">
        <x:v>SPECIFICATION GAP — HUMAN DECISION REQUIRED: error content type, top-level shape, required/optional properties, types, nullability, and additionalProperties are not defined.</x:v>
      </x:c>
      <x:c r="M46" s="23" t="str">
        <x:v>TO DO HUMAN</x:v>
      </x:c>
      <x:c r="N46" s="23" t="str">
        <x:v>Pending human audit. Confirm matrix traceability and approve every SPECIFICATION GAP oracle before execution.</x:v>
      </x:c>
      <x:c r="O46" s="23"/>
      <x:c r="P46" s="23"/>
      <x:c r="Q46" s="23" t="str">
        <x:v>FR07-API-TC042 | Characterize authentication error Content-Type and shape</x:v>
      </x:c>
      <x:c r="R46" s="23"/>
      <x:c r="S46" s="23" t="str">
        <x:v>NOT RUN</x:v>
      </x:c>
      <x:c r="T46" s="23"/>
      <x:c r="U46" s="23" t="str">
        <x:v>Trace: Schema—authentication error status/content type/shape; Security—invalid JWT.</x:v>
      </x:c>
    </x:row>
    <x:row r="47" ht="151.1999969482422" hidden="0" customHeight="1">
      <x:c r="A47" s="23" t="str">
        <x:v>FR07-API-TC043</x:v>
      </x:c>
      <x:c r="B47" s="23" t="str">
        <x:v>FR-07</x:v>
      </x:c>
      <x:c r="C47" s="23" t="str">
        <x:v>POST /api/cart</x:v>
      </x:c>
      <x:c r="D47" s="23" t="str">
        <x:v>AI</x:v>
      </x:c>
      <x:c r="E47" s="23" t="str">
        <x:v>Schema</x:v>
      </x:c>
      <x:c r="F47" s="23" t="str">
        <x:v>Characterize malformed-request error fields and sensitive-data policy</x:v>
      </x:c>
      <x:c r="G47" s="23" t="str">
        <x:v>Backend is available; login/register/product provisioning are setup operations and are not counted as selected FR-07 test cases. Valid JWT; baseline cart known; malformed JSON prepared.</x:v>
      </x:c>
      <x:c r="H47" s="23" t="str">
        <x:v>Raw malformed body: {"id":43,"quantity":1</x:v>
      </x:c>
      <x:c r="I47" s="23" t="str">
        <x:v>1. Establish Preconditions; setup APIs are not counted as the selected test case.
2. Send POST /api/cart with Authorization: Bearer {{userToken}} and Content-Type: application/json.
3. Use test data exactly as recorded: Raw malformed body: {"id":43,"quantity":1.
4. Capture HTTP status, response headers, and raw body.
5. Use valid-token GET /api/cart to verify cart state; this verification call remains a selected FR-07 operation.
6. Apply oracle: No cart mutation; error must not expose stack/path/query/secret/token/internal data as security-review oracle.</x:v>
      </x:c>
      <x:c r="J47" s="23" t="str">
        <x:v>SPECIFICATION GAP — HUMAN DECISION REQUIRED: invalid-request HTTP status is not defined.</x:v>
      </x:c>
      <x:c r="K47" s="23" t="str">
        <x:v>No cart mutation; error must not expose stack/path/query/secret/token/internal data as security-review oracle.</x:v>
      </x:c>
      <x:c r="L47" s="23" t="str">
        <x:v>SPECIFICATION GAP — error fields/types/nullability/content type/additionalProperties/formal sensitive denylist are undefined.</x:v>
      </x:c>
      <x:c r="M47" s="23" t="str">
        <x:v>TO DO HUMAN</x:v>
      </x:c>
      <x:c r="N47" s="23" t="str">
        <x:v>Pending human audit. Confirm matrix traceability and approve every SPECIFICATION GAP oracle before execution.</x:v>
      </x:c>
      <x:c r="O47" s="23"/>
      <x:c r="P47" s="23"/>
      <x:c r="Q47" s="23" t="str">
        <x:v>FR07-API-TC043 | Characterize malformed-request error fields and sensitive-data policy</x:v>
      </x:c>
      <x:c r="R47" s="23"/>
      <x:c r="S47" s="23" t="str">
        <x:v>NOT RUN</x:v>
      </x:c>
      <x:c r="T47" s="23"/>
      <x:c r="U47" s="23" t="str">
        <x:v>Trace: Schema—malformed error shape/sensitive policy; Security—unexpected exposure.</x:v>
      </x:c>
    </x:row>
    <x:row r="48" ht="30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</x:row>
    <x:row r="49" ht="30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</x:row>
    <x:row r="50" ht="30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</x:row>
    <x:row r="51" ht="30" customHeight="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</x:row>
    <x:row r="52" ht="30" customHeight="1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</x:row>
    <x:row r="53" ht="3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</x:row>
    <x:row r="54" ht="3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</x:row>
    <x:row r="55" ht="3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</x:row>
    <x:row r="56" ht="3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</x:row>
    <x:row r="57" ht="3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</x:row>
    <x:row r="58" ht="3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</x:row>
    <x:row r="59" ht="3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</x:row>
    <x:row r="60" ht="3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</x:row>
    <x:row r="61" ht="3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</x:row>
    <x:row r="62" ht="3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</x:row>
    <x:row r="63" ht="3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</x:row>
    <x:row r="64" ht="3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</x:row>
    <x:row r="65" ht="3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</x:row>
    <x:row r="66" ht="3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</x:row>
    <x:row r="67" ht="3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</x:row>
    <x:row r="68" ht="3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</x:row>
    <x:row r="69" ht="3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</x:row>
    <x:row r="70" ht="3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</x:row>
    <x:row r="71" ht="3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</x:row>
    <x:row r="72" ht="3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</x:row>
    <x:row r="73" ht="3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</x:row>
    <x:row r="74" ht="3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</x:row>
    <x:row r="75" ht="3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</x:row>
    <x:row r="76" ht="3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</x:row>
    <x:row r="77" ht="3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</x:row>
    <x:row r="78" ht="3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</x:row>
    <x:row r="79" ht="3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</x:row>
    <x:row r="80" ht="3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</x:row>
    <x:row r="81" ht="3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</x:row>
    <x:row r="82" ht="3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</x:row>
    <x:row r="83" ht="3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</x:row>
    <x:row r="84" ht="3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</x:row>
    <x:row r="85" ht="3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</x:row>
    <x:row r="86" ht="3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</x:row>
    <x:row r="87" ht="3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</x:row>
    <x:row r="88" ht="3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</x:row>
    <x:row r="89" ht="3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</x:row>
    <x:row r="90" ht="3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</x:row>
    <x:row r="91" ht="3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</x:row>
    <x:row r="92" ht="3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</x:row>
    <x:row r="93" ht="3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</x:row>
    <x:row r="94" ht="3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</x:row>
    <x:row r="95" ht="3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</x:row>
    <x:row r="96" ht="3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</x:row>
    <x:row r="97" ht="3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</x:row>
    <x:row r="98" ht="3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</x:row>
    <x:row r="99" ht="3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</x:row>
    <x:row r="100" ht="3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</x:row>
    <x:row r="101" ht="3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</x:row>
    <x:row r="102" ht="3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</x:row>
    <x:row r="103" ht="3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</x:row>
    <x:row r="104" ht="3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</x:row>
    <x:row r="105" ht="3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</x:row>
    <x:row r="106" ht="3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</x:row>
    <x:row r="107" ht="3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</x:row>
    <x:row r="108" ht="3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</x:row>
    <x:row r="109" ht="3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</x:row>
    <x:row r="110" ht="3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</x:row>
    <x:row r="111" ht="3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</x:row>
    <x:row r="112" ht="3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</x:row>
    <x:row r="113" ht="3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</x:row>
    <x:row r="114" ht="3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</x:row>
    <x:row r="115" ht="3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</x:row>
    <x:row r="116" ht="3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</x:row>
    <x:row r="117" ht="3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</x:row>
    <x:row r="118" ht="3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</x:row>
    <x:row r="119" ht="3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</x:row>
    <x:row r="120" ht="3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</x:row>
    <x:row r="121" ht="3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</x:row>
    <x:row r="122" ht="3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</x:row>
    <x:row r="123" ht="3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</x:row>
    <x:row r="124" ht="3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</x:row>
    <x:row r="125" ht="3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</x:row>
    <x:row r="126" ht="3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</x:row>
    <x:row r="127" ht="3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</x:row>
    <x:row r="128" ht="3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</x:row>
    <x:row r="129" ht="3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</x:row>
    <x:row r="130" ht="3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</x:row>
    <x:row r="131" ht="3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</x:row>
    <x:row r="132" ht="3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</x:row>
    <x:row r="133" ht="3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</x:row>
    <x:row r="134" ht="3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</x:row>
    <x:row r="135" ht="3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</x:row>
    <x:row r="136" ht="3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</x:row>
    <x:row r="137" ht="3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</x:row>
    <x:row r="138" ht="3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</x:row>
    <x:row r="139" ht="3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</x:row>
    <x:row r="140" ht="3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</x:row>
    <x:row r="141" ht="3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</x:row>
    <x:row r="142" ht="3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</x:row>
    <x:row r="143" ht="3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</x:row>
    <x:row r="144" ht="3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</x:row>
    <x:row r="145" ht="3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</x:row>
    <x:row r="146" ht="3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</x:row>
    <x:row r="147" ht="3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</x:row>
    <x:row r="148" ht="3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</x:row>
    <x:row r="149" ht="3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</x:row>
    <x:row r="150" ht="3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</x:row>
    <x:row r="151" ht="3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</x:row>
    <x:row r="152" ht="3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</x:row>
    <x:row r="153" ht="3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</x:row>
    <x:row r="154" ht="3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</x:row>
    <x:row r="155" ht="3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</x:row>
    <x:row r="156" ht="3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</x:row>
    <x:row r="157" ht="3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</x:row>
    <x:row r="158" ht="3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</x:row>
    <x:row r="159" ht="3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</x:row>
    <x:row r="160" ht="3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</x:row>
    <x:row r="161" ht="3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</x:row>
    <x:row r="162" ht="3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</x:row>
    <x:row r="163" ht="3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</x:row>
    <x:row r="164" ht="3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</x:row>
    <x:row r="165" ht="3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</x:row>
    <x:row r="166" ht="3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</x:row>
    <x:row r="167" ht="3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</x:row>
    <x:row r="168" ht="3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</x:row>
    <x:row r="169" ht="3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</x:row>
    <x:row r="170" ht="3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</x:row>
    <x:row r="171" ht="3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</x:row>
    <x:row r="172" ht="3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</x:row>
    <x:row r="173" ht="3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</x:row>
    <x:row r="174" ht="3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</x:row>
    <x:row r="175" ht="3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</x:row>
    <x:row r="176" ht="3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</x:row>
    <x:row r="177" ht="3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</x:row>
    <x:row r="178" ht="3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</x:row>
    <x:row r="179" ht="3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</x:row>
    <x:row r="180" ht="3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</x:row>
    <x:row r="181" ht="3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</x:row>
    <x:row r="182" ht="3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</x:row>
    <x:row r="183" ht="3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</x:row>
    <x:row r="184" ht="3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</x:row>
    <x:row r="185" ht="3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</x:row>
    <x:row r="186" ht="3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</x:row>
    <x:row r="187" ht="3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</x:row>
    <x:row r="188" ht="3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</x:row>
    <x:row r="189" ht="3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</x:row>
    <x:row r="190" ht="3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</x:row>
    <x:row r="191" ht="3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</x:row>
    <x:row r="192" ht="3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</x:row>
    <x:row r="193" ht="3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</x:row>
    <x:row r="194" ht="3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</x:row>
    <x:row r="195" ht="3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</x:row>
    <x:row r="196" ht="3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</x:row>
    <x:row r="197" ht="3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</x:row>
    <x:row r="198" ht="3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</x:row>
    <x:row r="199" ht="3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</x:row>
    <x:row r="200" ht="3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</x:row>
    <x:row r="201" ht="30" customHeight="1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</x:row>
    <x:row r="202" ht="30" customHeight="1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</x:row>
    <x:row r="203" ht="30" customHeight="1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</x:row>
    <x:row r="204" ht="30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</x:row>
  </x:sheetData>
  <x:mergeCells>
    <x:mergeCell ref="A1:U1"/>
    <x:mergeCell ref="A2:U2"/>
  </x:mergeCells>
  <x:conditionalFormatting sqref="M5:M204">
    <x:cfRule type="containsText" dxfId="8" priority="1" operator="containsText" text="VALID"/>
    <x:cfRule type="containsText" dxfId="9" priority="2" operator="containsText" text="INVALID"/>
    <x:cfRule type="containsText" dxfId="10" priority="3" operator="containsText" text="INCOMPLETE"/>
    <x:cfRule type="containsText" dxfId="11" priority="4" operator="containsText" text="TO DO HUMAN"/>
  </x:conditionalFormatting>
  <x:conditionalFormatting sqref="S5:S204">
    <x:cfRule type="containsText" dxfId="12" priority="5" operator="containsText" text="NOT RUN"/>
    <x:cfRule type="containsText" dxfId="13" priority="6" operator="containsText" text="PASS"/>
    <x:cfRule type="containsText" dxfId="14" priority="7" operator="containsText" text="FAIL"/>
    <x:cfRule type="containsText" dxfId="15" priority="8" operator="containsText" text="BLOCKED"/>
  </x:conditionalFormatting>
  <x:dataValidations count="4">
    <x:dataValidation type="list" sqref="D5:D204">
      <x:formula1>"AI,HUMAN"</x:formula1>
    </x:dataValidation>
    <x:dataValidation type="list" sqref="E5:E204">
      <x:formula1>"Domain,State,Security,Schema"</x:formula1>
    </x:dataValidation>
    <x:dataValidation type="list" sqref="M5:M204">
      <x:formula1>"VALID,INVALID,INCOMPLETE,TO DO HUMAN"</x:formula1>
    </x:dataValidation>
    <x:dataValidation type="list" sqref="S5:S204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1" hidden="0" customWidth="1"/>
    <x:col min="5" max="5" width="14" hidden="0" customWidth="1"/>
    <x:col min="6" max="6" width="28" hidden="0" customWidth="1"/>
    <x:col min="7" max="7" width="28" hidden="0" customWidth="1"/>
    <x:col min="8" max="8" width="28" hidden="0" customWidth="1"/>
    <x:col min="9" max="9" width="32" hidden="0" customWidth="1"/>
    <x:col min="10" max="10" width="16" hidden="0" customWidth="1"/>
    <x:col min="11" max="11" width="32" hidden="0" customWidth="1"/>
    <x:col min="12" max="12" width="30" hidden="0" customWidth="1"/>
    <x:col min="13" max="13" width="16" hidden="0" customWidth="1"/>
    <x:col min="14" max="14" width="28" hidden="0" customWidth="1"/>
    <x:col min="15" max="15" width="28" hidden="0" customWidth="1"/>
    <x:col min="16" max="16" width="32" hidden="0" customWidth="1"/>
    <x:col min="17" max="17" width="24" hidden="0" customWidth="1"/>
    <x:col min="18" max="18" width="26" hidden="0" customWidth="1"/>
    <x:col min="19" max="19" width="18" hidden="0" customWidth="1"/>
    <x:col min="20" max="20" width="12" hidden="0" customWidth="1"/>
    <x:col min="21" max="21" width="24" hidden="0" customWidth="1"/>
  </x:cols>
  <x:sheetData>
    <x:row r="1" ht="30" customHeight="1">
      <x:c r="A1" s="4" t="str">
        <x:v>FR-13 API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4" customHeight="1">
      <x:c r="A2" s="8" t="str">
        <x:v>48 AI-generated Dashboard-input API test cases | Target: GET /api/admin/orders | Derived business oracles | Human audit pending | No execution results recorded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42" customHeight="1">
      <x:c r="A4" s="14" t="str">
        <x:v>Test Case ID</x:v>
      </x:c>
      <x:c r="B4" s="14" t="str">
        <x:v>Feature ID</x:v>
      </x:c>
      <x:c r="C4" s="14" t="str">
        <x:v>Target Endpoint</x:v>
      </x:c>
      <x:c r="D4" s="14" t="str">
        <x:v>Source</x:v>
      </x:c>
      <x:c r="E4" s="14" t="str">
        <x:v>Coverage Type</x:v>
      </x:c>
      <x:c r="F4" s="14" t="str">
        <x:v>Test Objective</x:v>
      </x:c>
      <x:c r="G4" s="14" t="str">
        <x:v>Preconditions</x:v>
      </x:c>
      <x:c r="H4" s="14" t="str">
        <x:v>Test Data</x:v>
      </x:c>
      <x:c r="I4" s="14" t="str">
        <x:v>Test Steps</x:v>
      </x:c>
      <x:c r="J4" s="14" t="str">
        <x:v>Expected HTTP Status</x:v>
      </x:c>
      <x:c r="K4" s="14" t="str">
        <x:v>Expected Response</x:v>
      </x:c>
      <x:c r="L4" s="14" t="str">
        <x:v>Expected Schema</x:v>
      </x:c>
      <x:c r="M4" s="14" t="str">
        <x:v>AI Verdict</x:v>
      </x:c>
      <x:c r="N4" s="14" t="str">
        <x:v>Audit Reason</x:v>
      </x:c>
      <x:c r="O4" s="14" t="str">
        <x:v>Student Fix</x:v>
      </x:c>
      <x:c r="P4" s="14" t="str">
        <x:v>Corrected Test Case</x:v>
      </x:c>
      <x:c r="Q4" s="14" t="str">
        <x:v>Postman Request Name</x:v>
      </x:c>
      <x:c r="R4" s="14" t="str">
        <x:v>Actual Result</x:v>
      </x:c>
      <x:c r="S4" s="14" t="str">
        <x:v>Execution Status</x:v>
      </x:c>
      <x:c r="T4" s="14" t="str">
        <x:v>Bug ID</x:v>
      </x:c>
      <x:c r="U4" s="14" t="str">
        <x:v>Notes</x:v>
      </x:c>
    </x:row>
    <x:row r="5" ht="205.1999969482422" hidden="0" customHeight="1">
      <x:c r="A5" s="22" t="str">
        <x:v>FR13-API-TC001</x:v>
      </x:c>
      <x:c r="B5" s="22" t="str">
        <x:v>FR-13</x:v>
      </x:c>
      <x:c r="C5" s="22" t="str">
        <x:v>GET /api/admin/orders</x:v>
      </x:c>
      <x:c r="D5" s="22" t="str">
        <x:v>AI</x:v>
      </x:c>
      <x:c r="E5" s="22" t="str">
        <x:v>Domain</x:v>
      </x:c>
      <x:c r="F5" s="22" t="str">
        <x:v>Retrieve a controlled mixed-status all-order dataset with a valid admin JWT</x:v>
      </x:c>
      <x:c r="G5" s="22" t="str">
        <x:v>Backend and isolated order storage are available. Admin/user login, POST /api/checkout, PUT /api/admin/orders/:id/status, UI checks, and authorized fixtures are setup/verification operations—not selected FR-13 cases. No API was run while authoring. Dataset D contains delivered 120000, pending 50000, and canceled 30000 orders.</x:v>
      </x:c>
      <x:c r="H5" s="22" t="str">
        <x:v>Authorization: Bearer {{adminToken}}; D=[delivered:120000,pending:50000,canceled:30000]</x:v>
      </x:c>
      <x:c r="I5" s="22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Semantic response is the complete all-system dataset. Derived business oracle: revenue=120000; order count=3. No aggregate response property is required.</x:v>
      </x:c>
      <x:c r="J5" s="22" t="str">
        <x:v>SPECIFICATION GAP — HUMAN DECISION REQUIRED: success HTTP status for GET /api/admin/orders is not documented.</x:v>
      </x:c>
      <x:c r="K5" s="22" t="str">
        <x:v>Semantic response is the complete all-system dataset. Derived business oracle: revenue=120000; order count=3. No aggregate response property is required.</x:v>
      </x:c>
      <x:c r="L5" s="22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5" s="22" t="str">
        <x:v>TO DO HUMAN</x:v>
      </x:c>
      <x:c r="N5" s="22" t="str">
        <x:v>Pending human audit. Confirm matrix traceability and approve every SPECIFICATION GAP oracle before execution.</x:v>
      </x:c>
      <x:c r="O5" s="22"/>
      <x:c r="P5" s="22"/>
      <x:c r="Q5" s="22" t="str">
        <x:v>FR13-API-TC001 | Retrieve a controlled mixed-status all-order dataset with a valid admin JWT</x:v>
      </x:c>
      <x:c r="R5" s="22"/>
      <x:c r="S5" s="22" t="str">
        <x:v>NOT RUN</x:v>
      </x:c>
      <x:c r="T5" s="22"/>
      <x:c r="U5" s="22" t="str">
        <x:v>Trace: Domain—valid admin GET and mixed status partitions; Contract—derived Dashboard oracle.</x:v>
      </x:c>
    </x:row>
    <x:row r="6" ht="205.1999969482422" hidden="0" customHeight="1">
      <x:c r="A6" s="23" t="str">
        <x:v>FR13-API-TC002</x:v>
      </x:c>
      <x:c r="B6" s="23" t="str">
        <x:v>FR-13</x:v>
      </x:c>
      <x:c r="C6" s="23" t="str">
        <x:v>GET /api/admin/orders</x:v>
      </x:c>
      <x:c r="D6" s="23" t="str">
        <x:v>AI</x:v>
      </x:c>
      <x:c r="E6" s="23" t="str">
        <x:v>Domain</x:v>
      </x:c>
      <x:c r="F6" s="23" t="str">
        <x:v>Retrieve a controlled empty all-order dataset</x:v>
      </x:c>
      <x:c r="G6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Order storage is known S0/empty.</x:v>
      </x:c>
      <x:c r="H6" s="23" t="str">
        <x:v>Authorization: Bearer {{adminToken}}; D=[]</x:v>
      </x:c>
      <x:c r="I6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Semantic response represents the complete empty dataset. Derived business oracle: revenue=0; order count=0; exact empty representation is unspecified.</x:v>
      </x:c>
      <x:c r="J6" s="23" t="str">
        <x:v>SPECIFICATION GAP — HUMAN DECISION REQUIRED: success HTTP status for GET /api/admin/orders is not documented.</x:v>
      </x:c>
      <x:c r="K6" s="23" t="str">
        <x:v>Semantic response represents the complete empty dataset. Derived business oracle: revenue=0; order count=0; exact empty representation is unspecified.</x:v>
      </x:c>
      <x:c r="L6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6" s="23" t="str">
        <x:v>TO DO HUMAN</x:v>
      </x:c>
      <x:c r="N6" s="23" t="str">
        <x:v>Pending human audit. Confirm matrix traceability and approve every SPECIFICATION GAP oracle before execution.</x:v>
      </x:c>
      <x:c r="O6" s="23"/>
      <x:c r="P6" s="23"/>
      <x:c r="Q6" s="23" t="str">
        <x:v>FR13-API-TC002 | Retrieve a controlled empty all-order dataset</x:v>
      </x:c>
      <x:c r="R6" s="23"/>
      <x:c r="S6" s="23" t="str">
        <x:v>NOT RUN</x:v>
      </x:c>
      <x:c r="T6" s="23"/>
      <x:c r="U6" s="23" t="str">
        <x:v>Trace: Domain—empty collection; State—S0; Schema—empty representation gap.</x:v>
      </x:c>
    </x:row>
    <x:row r="7" ht="194.39999389648438" hidden="0" customHeight="1">
      <x:c r="A7" s="23" t="str">
        <x:v>FR13-API-TC003</x:v>
      </x:c>
      <x:c r="B7" s="23" t="str">
        <x:v>FR-13</x:v>
      </x:c>
      <x:c r="C7" s="23" t="str">
        <x:v>GET /api/admin/orders</x:v>
      </x:c>
      <x:c r="D7" s="23" t="str">
        <x:v>AI</x:v>
      </x:c>
      <x:c r="E7" s="23" t="str">
        <x:v>Domain</x:v>
      </x:c>
      <x:c r="F7" s="23" t="str">
        <x:v>Derive revenue from a delivered-only dataset</x:v>
      </x:c>
      <x:c r="G7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D contains exactly two delivered orders with amounts 100000 and 250000.</x:v>
      </x:c>
      <x:c r="H7" s="23" t="str">
        <x:v>D=[delivered:100000,delivered:250000]</x:v>
      </x:c>
      <x:c r="I7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Complete dataset retained. Derived business oracle: revenue=350000; order count=2. Do not apply any multiplier.</x:v>
      </x:c>
      <x:c r="J7" s="23" t="str">
        <x:v>SPECIFICATION GAP — HUMAN DECISION REQUIRED: success HTTP status for GET /api/admin/orders is not documented.</x:v>
      </x:c>
      <x:c r="K7" s="23" t="str">
        <x:v>Complete dataset retained. Derived business oracle: revenue=350000; order count=2. Do not apply any multiplier.</x:v>
      </x:c>
      <x:c r="L7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7" s="23" t="str">
        <x:v>TO DO HUMAN</x:v>
      </x:c>
      <x:c r="N7" s="23" t="str">
        <x:v>Pending human audit. Confirm matrix traceability and approve every SPECIFICATION GAP oracle before execution.</x:v>
      </x:c>
      <x:c r="O7" s="23"/>
      <x:c r="P7" s="23"/>
      <x:c r="Q7" s="23" t="str">
        <x:v>FR13-API-TC003 | Derive revenue from a delivered-only dataset</x:v>
      </x:c>
      <x:c r="R7" s="23"/>
      <x:c r="S7" s="23" t="str">
        <x:v>NOT RUN</x:v>
      </x:c>
      <x:c r="T7" s="23"/>
      <x:c r="U7" s="23" t="str">
        <x:v>Trace: Domain—delivered inclusion; State—S2.</x:v>
      </x:c>
    </x:row>
    <x:row r="8" ht="194.39999389648438" hidden="0" customHeight="1">
      <x:c r="A8" s="23" t="str">
        <x:v>FR13-API-TC004</x:v>
      </x:c>
      <x:c r="B8" s="23" t="str">
        <x:v>FR-13</x:v>
      </x:c>
      <x:c r="C8" s="23" t="str">
        <x:v>GET /api/admin/orders</x:v>
      </x:c>
      <x:c r="D8" s="23" t="str">
        <x:v>AI</x:v>
      </x:c>
      <x:c r="E8" s="23" t="str">
        <x:v>Domain</x:v>
      </x:c>
      <x:c r="F8" s="23" t="str">
        <x:v>Exclude every documented non-delivered status from revenue while counting all orders</x:v>
      </x:c>
      <x:c r="G8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D contains one order in each non-delivered status with controlled amounts.</x:v>
      </x:c>
      <x:c r="H8" s="23" t="str">
        <x:v>D=[pending:10000,confirmed:20000,shipping:30000,canceled:40000]</x:v>
      </x:c>
      <x:c r="I8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oracle: revenue=0; order count=4. All statuses count, none contributes revenue.</x:v>
      </x:c>
      <x:c r="J8" s="23" t="str">
        <x:v>SPECIFICATION GAP — HUMAN DECISION REQUIRED: success HTTP status for GET /api/admin/orders is not documented.</x:v>
      </x:c>
      <x:c r="K8" s="23" t="str">
        <x:v>Derived business oracle: revenue=0; order count=4. All statuses count, none contributes revenue.</x:v>
      </x:c>
      <x:c r="L8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8" s="23" t="str">
        <x:v>TO DO HUMAN</x:v>
      </x:c>
      <x:c r="N8" s="23" t="str">
        <x:v>Pending human audit. Confirm matrix traceability and approve every SPECIFICATION GAP oracle before execution.</x:v>
      </x:c>
      <x:c r="O8" s="23"/>
      <x:c r="P8" s="23"/>
      <x:c r="Q8" s="23" t="str">
        <x:v>FR13-API-TC004 | Exclude every documented non-delivered status from revenue while counting all orders</x:v>
      </x:c>
      <x:c r="R8" s="23"/>
      <x:c r="S8" s="23" t="str">
        <x:v>NOT RUN</x:v>
      </x:c>
      <x:c r="T8" s="23"/>
      <x:c r="U8" s="23" t="str">
        <x:v>Trace: Domain—non-delivered equivalence class; Contract—count all statuses.</x:v>
      </x:c>
    </x:row>
    <x:row r="9" ht="194.39999389648438" hidden="0" customHeight="1">
      <x:c r="A9" s="23" t="str">
        <x:v>FR13-API-TC005</x:v>
      </x:c>
      <x:c r="B9" s="23" t="str">
        <x:v>FR-13</x:v>
      </x:c>
      <x:c r="C9" s="23" t="str">
        <x:v>GET /api/admin/orders</x:v>
      </x:c>
      <x:c r="D9" s="23" t="str">
        <x:v>AI</x:v>
      </x:c>
      <x:c r="E9" s="23" t="str">
        <x:v>Domain</x:v>
      </x:c>
      <x:c r="F9" s="23" t="str">
        <x:v>Cover all five documented statuses in one complete dataset</x:v>
      </x:c>
      <x:c r="G9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D contains pending, confirmed, shipping, delivered 70000, and canceled.</x:v>
      </x:c>
      <x:c r="H9" s="23" t="str">
        <x:v>D=[pending:10000,confirmed:20000,shipping:30000,delivered:70000,canceled:50000]</x:v>
      </x:c>
      <x:c r="I9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oracle: revenue=70000; order count=5; only delivered contributes revenue.</x:v>
      </x:c>
      <x:c r="J9" s="23" t="str">
        <x:v>SPECIFICATION GAP — HUMAN DECISION REQUIRED: success HTTP status for GET /api/admin/orders is not documented.</x:v>
      </x:c>
      <x:c r="K9" s="23" t="str">
        <x:v>Derived business oracle: revenue=70000; order count=5; only delivered contributes revenue.</x:v>
      </x:c>
      <x:c r="L9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9" s="23" t="str">
        <x:v>TO DO HUMAN</x:v>
      </x:c>
      <x:c r="N9" s="23" t="str">
        <x:v>Pending human audit. Confirm matrix traceability and approve every SPECIFICATION GAP oracle before execution.</x:v>
      </x:c>
      <x:c r="O9" s="23"/>
      <x:c r="P9" s="23"/>
      <x:c r="Q9" s="23" t="str">
        <x:v>FR13-API-TC005 | Cover all five documented statuses in one complete dataset</x:v>
      </x:c>
      <x:c r="R9" s="23"/>
      <x:c r="S9" s="23" t="str">
        <x:v>NOT RUN</x:v>
      </x:c>
      <x:c r="T9" s="23"/>
      <x:c r="U9" s="23" t="str">
        <x:v>Trace: Domain—five-status enumeration and delivered partition.</x:v>
      </x:c>
    </x:row>
    <x:row r="10" ht="216" hidden="0" customHeight="1">
      <x:c r="A10" s="23" t="str">
        <x:v>FR13-API-TC006</x:v>
      </x:c>
      <x:c r="B10" s="23" t="str">
        <x:v>FR-13</x:v>
      </x:c>
      <x:c r="C10" s="23" t="str">
        <x:v>GET /api/admin/orders</x:v>
      </x:c>
      <x:c r="D10" s="23" t="str">
        <x:v>AI</x:v>
      </x:c>
      <x:c r="E10" s="23" t="str">
        <x:v>Domain</x:v>
      </x:c>
      <x:c r="F10" s="23" t="str">
        <x:v>Characterize an unknown case-variant status without inventing normalization</x:v>
      </x:c>
      <x:c r="G10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fixture contains status 'Delivered' rather than exact 'delivered'.</x:v>
      </x:c>
      <x:c r="H10" s="23" t="str">
        <x:v>D=[{status:'Delivered',total_amount:100000}]</x:v>
      </x:c>
      <x:c r="I10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Dataset evidence is captured, but derived revenue is indeterminate. Do not normalize or include the amount without human contract clarification; order-count handling for malformed state requires review.</x:v>
      </x:c>
      <x:c r="J10" s="23" t="str">
        <x:v>SPECIFICATION GAP — HUMAN DECISION REQUIRED: success HTTP status for GET /api/admin/orders is not documented.</x:v>
      </x:c>
      <x:c r="K10" s="23" t="str">
        <x:v>Dataset evidence is captured, but derived revenue is indeterminate. Do not normalize or include the amount without human contract clarification; order-count handling for malformed state requires review.</x:v>
      </x:c>
      <x:c r="L10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0" s="23" t="str">
        <x:v>TO DO HUMAN</x:v>
      </x:c>
      <x:c r="N10" s="23" t="str">
        <x:v>Pending human audit. Confirm matrix traceability and approve every SPECIFICATION GAP oracle before execution.</x:v>
      </x:c>
      <x:c r="O10" s="23"/>
      <x:c r="P10" s="23"/>
      <x:c r="Q10" s="23" t="str">
        <x:v>FR13-API-TC006 | Characterize an unknown case-variant status without inventing normalization</x:v>
      </x:c>
      <x:c r="R10" s="23"/>
      <x:c r="S10" s="23" t="str">
        <x:v>NOT RUN</x:v>
      </x:c>
      <x:c r="T10" s="23"/>
      <x:c r="U10" s="23" t="str">
        <x:v>Trace: Domain—invalid/Unicode/case status partition; State—SU.</x:v>
      </x:c>
    </x:row>
    <x:row r="11" ht="205.1999969482422" hidden="0" customHeight="1">
      <x:c r="A11" s="23" t="str">
        <x:v>FR13-API-TC007</x:v>
      </x:c>
      <x:c r="B11" s="23" t="str">
        <x:v>FR-13</x:v>
      </x:c>
      <x:c r="C11" s="23" t="str">
        <x:v>GET /api/admin/orders</x:v>
      </x:c>
      <x:c r="D11" s="23" t="str">
        <x:v>AI</x:v>
      </x:c>
      <x:c r="E11" s="23" t="str">
        <x:v>Domain</x:v>
      </x:c>
      <x:c r="F11" s="23" t="str">
        <x:v>Characterize missing and null status values as indeterminate Dashboard input</x:v>
      </x:c>
      <x:c r="G11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fixture contains two orders: one missing status and one status null.</x:v>
      </x:c>
      <x:c r="H11" s="23" t="str">
        <x:v>D=[{status:&lt;missing&gt;,total_amount:100000},{status:null,total_amount:200000}]</x:v>
      </x:c>
      <x:c r="I11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No status is invented. Derived revenue is indeterminate; complete-order count semantics versus malformed records require human clarification.</x:v>
      </x:c>
      <x:c r="J11" s="23" t="str">
        <x:v>SPECIFICATION GAP — HUMAN DECISION REQUIRED: success HTTP status for GET /api/admin/orders is not documented.</x:v>
      </x:c>
      <x:c r="K11" s="23" t="str">
        <x:v>No status is invented. Derived revenue is indeterminate; complete-order count semantics versus malformed records require human clarification.</x:v>
      </x:c>
      <x:c r="L11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1" s="23" t="str">
        <x:v>TO DO HUMAN</x:v>
      </x:c>
      <x:c r="N11" s="23" t="str">
        <x:v>Pending human audit. Confirm matrix traceability and approve every SPECIFICATION GAP oracle before execution.</x:v>
      </x:c>
      <x:c r="O11" s="23"/>
      <x:c r="P11" s="23"/>
      <x:c r="Q11" s="23" t="str">
        <x:v>FR13-API-TC007 | Characterize missing and null status values as indeterminate Dashboard input</x:v>
      </x:c>
      <x:c r="R11" s="23"/>
      <x:c r="S11" s="23" t="str">
        <x:v>NOT RUN</x:v>
      </x:c>
      <x:c r="T11" s="23"/>
      <x:c r="U11" s="23" t="str">
        <x:v>Trace: Domain—status null/missing; State—SU.</x:v>
      </x:c>
    </x:row>
    <x:row r="12" ht="205.1999969482422" hidden="0" customHeight="1">
      <x:c r="A12" s="23" t="str">
        <x:v>FR13-API-TC008</x:v>
      </x:c>
      <x:c r="B12" s="23" t="str">
        <x:v>FR-13</x:v>
      </x:c>
      <x:c r="C12" s="23" t="str">
        <x:v>GET /api/admin/orders</x:v>
      </x:c>
      <x:c r="D12" s="23" t="str">
        <x:v>AI</x:v>
      </x:c>
      <x:c r="E12" s="23" t="str">
        <x:v>Domain</x:v>
      </x:c>
      <x:c r="F12" s="23" t="str">
        <x:v>Characterize missing and null total_amount on delivered orders</x:v>
      </x:c>
      <x:c r="G12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fixture contains delivered orders with missing and null amounts.</x:v>
      </x:c>
      <x:c r="H12" s="23" t="str">
        <x:v>D=[{status:'delivered',total_amount:&lt;missing&gt;},{status:'delivered',total_amount:null}]</x:v>
      </x:c>
      <x:c r="I12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Do not substitute zero or drop records. Derived revenue is indeterminate; semantic order count is 2 if both logical orders are present, subject to schema/identity gaps.</x:v>
      </x:c>
      <x:c r="J12" s="23" t="str">
        <x:v>SPECIFICATION GAP — HUMAN DECISION REQUIRED: success HTTP status for GET /api/admin/orders is not documented.</x:v>
      </x:c>
      <x:c r="K12" s="23" t="str">
        <x:v>Do not substitute zero or drop records. Derived revenue is indeterminate; semantic order count is 2 if both logical orders are present, subject to schema/identity gaps.</x:v>
      </x:c>
      <x:c r="L12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2" s="23" t="str">
        <x:v>TO DO HUMAN</x:v>
      </x:c>
      <x:c r="N12" s="23" t="str">
        <x:v>Pending human audit. Confirm matrix traceability and approve every SPECIFICATION GAP oracle before execution.</x:v>
      </x:c>
      <x:c r="O12" s="23"/>
      <x:c r="P12" s="23"/>
      <x:c r="Q12" s="23" t="str">
        <x:v>FR13-API-TC008 | Characterize missing and null total_amount on delivered orders</x:v>
      </x:c>
      <x:c r="R12" s="23"/>
      <x:c r="S12" s="23" t="str">
        <x:v>NOT RUN</x:v>
      </x:c>
      <x:c r="T12" s="23"/>
      <x:c r="U12" s="23" t="str">
        <x:v>Trace: Domain—amount null/missing; State—SU.</x:v>
      </x:c>
    </x:row>
    <x:row r="13" ht="194.39999389648438" hidden="0" customHeight="1">
      <x:c r="A13" s="23" t="str">
        <x:v>FR13-API-TC009</x:v>
      </x:c>
      <x:c r="B13" s="23" t="str">
        <x:v>FR-13</x:v>
      </x:c>
      <x:c r="C13" s="23" t="str">
        <x:v>GET /api/admin/orders</x:v>
      </x:c>
      <x:c r="D13" s="23" t="str">
        <x:v>AI</x:v>
      </x:c>
      <x:c r="E13" s="23" t="str">
        <x:v>Domain</x:v>
      </x:c>
      <x:c r="F13" s="23" t="str">
        <x:v>Characterize numeric-string total_amount without coercion</x:v>
      </x:c>
      <x:c r="G13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fixture contains one delivered order whose amount is the string '100000'.</x:v>
      </x:c>
      <x:c r="H13" s="23" t="str">
        <x:v>D=[{status:'delivered',total_amount:'100000'}]</x:v>
      </x:c>
      <x:c r="I13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Do not coerce the string. Derived revenue is indeterminate; order count is one logical order if identity/completeness is established.</x:v>
      </x:c>
      <x:c r="J13" s="23" t="str">
        <x:v>SPECIFICATION GAP — HUMAN DECISION REQUIRED: success HTTP status for GET /api/admin/orders is not documented.</x:v>
      </x:c>
      <x:c r="K13" s="23" t="str">
        <x:v>Do not coerce the string. Derived revenue is indeterminate; order count is one logical order if identity/completeness is established.</x:v>
      </x:c>
      <x:c r="L13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3" s="23" t="str">
        <x:v>TO DO HUMAN</x:v>
      </x:c>
      <x:c r="N13" s="23" t="str">
        <x:v>Pending human audit. Confirm matrix traceability and approve every SPECIFICATION GAP oracle before execution.</x:v>
      </x:c>
      <x:c r="O13" s="23"/>
      <x:c r="P13" s="23"/>
      <x:c r="Q13" s="23" t="str">
        <x:v>FR13-API-TC009 | Characterize numeric-string total_amount without coercion</x:v>
      </x:c>
      <x:c r="R13" s="23"/>
      <x:c r="S13" s="23" t="str">
        <x:v>NOT RUN</x:v>
      </x:c>
      <x:c r="T13" s="23"/>
      <x:c r="U13" s="23" t="str">
        <x:v>Trace: Domain—amount wrong type/coercion gap.</x:v>
      </x:c>
    </x:row>
    <x:row r="14" ht="226.8000030517578" hidden="0" customHeight="1">
      <x:c r="A14" s="23" t="str">
        <x:v>FR13-API-TC010</x:v>
      </x:c>
      <x:c r="B14" s="23" t="str">
        <x:v>FR-13</x:v>
      </x:c>
      <x:c r="C14" s="23" t="str">
        <x:v>GET /api/admin/orders</x:v>
      </x:c>
      <x:c r="D14" s="23" t="str">
        <x:v>AI</x:v>
      </x:c>
      <x:c r="E14" s="23" t="str">
        <x:v>Domain</x:v>
      </x:c>
      <x:c r="F14" s="23" t="str">
        <x:v>Characterize a negative delivered total_amount without inventing a lower boundary</x:v>
      </x:c>
      <x:c r="G14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fixture contains delivered amount -1; specification defines no sign rule.</x:v>
      </x:c>
      <x:c r="H14" s="23" t="str">
        <x:v>D=[{status:'delivered',total_amount:-1}]</x:v>
      </x:c>
      <x:c r="I14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Capture the input unchanged. Validity and derived revenue treatment are HUMAN DECISION REQUIRED because sign/minimum/refund semantics are unspecified; count remains one logical order if dataset is complete.</x:v>
      </x:c>
      <x:c r="J14" s="23" t="str">
        <x:v>SPECIFICATION GAP — HUMAN DECISION REQUIRED: success HTTP status for GET /api/admin/orders is not documented.</x:v>
      </x:c>
      <x:c r="K14" s="23" t="str">
        <x:v>Capture the input unchanged. Validity and derived revenue treatment are HUMAN DECISION REQUIRED because sign/minimum/refund semantics are unspecified; count remains one logical order if dataset is complete.</x:v>
      </x:c>
      <x:c r="L14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4" s="23" t="str">
        <x:v>TO DO HUMAN</x:v>
      </x:c>
      <x:c r="N14" s="23" t="str">
        <x:v>Pending human audit. Confirm matrix traceability and approve every SPECIFICATION GAP oracle before execution.</x:v>
      </x:c>
      <x:c r="O14" s="23"/>
      <x:c r="P14" s="23"/>
      <x:c r="Q14" s="23" t="str">
        <x:v>FR13-API-TC010 | Characterize a negative delivered total_amount without inventing a lower boundary</x:v>
      </x:c>
      <x:c r="R14" s="23"/>
      <x:c r="S14" s="23" t="str">
        <x:v>NOT RUN</x:v>
      </x:c>
      <x:c r="T14" s="23"/>
      <x:c r="U14" s="23" t="str">
        <x:v>Trace: Domain—negative amount and minimum SPECIFICATION GAP.</x:v>
      </x:c>
    </x:row>
    <x:row r="15" ht="205.1999969482422" hidden="0" customHeight="1">
      <x:c r="A15" s="23" t="str">
        <x:v>FR13-API-TC011</x:v>
      </x:c>
      <x:c r="B15" s="23" t="str">
        <x:v>FR-13</x:v>
      </x:c>
      <x:c r="C15" s="23" t="str">
        <x:v>GET /api/admin/orders</x:v>
      </x:c>
      <x:c r="D15" s="23" t="str">
        <x:v>AI</x:v>
      </x:c>
      <x:c r="E15" s="23" t="str">
        <x:v>Domain</x:v>
      </x:c>
      <x:c r="F15" s="23" t="str">
        <x:v>Characterize a fractional delivered total_amount without inventing precision rules</x:v>
      </x:c>
      <x:c r="G15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fixture contains delivered amount 1.5; precision/currency are unspecified.</x:v>
      </x:c>
      <x:c r="H15" s="23" t="str">
        <x:v>D=[{status:'delivered',total_amount:1.5}]</x:v>
      </x:c>
      <x:c r="I15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Capture evidence; derived revenue arithmetic may be 1.5 only after human approval of type/precision. Order count is one logical order if complete.</x:v>
      </x:c>
      <x:c r="J15" s="23" t="str">
        <x:v>SPECIFICATION GAP — HUMAN DECISION REQUIRED: success HTTP status for GET /api/admin/orders is not documented.</x:v>
      </x:c>
      <x:c r="K15" s="23" t="str">
        <x:v>Capture evidence; derived revenue arithmetic may be 1.5 only after human approval of type/precision. Order count is one logical order if complete.</x:v>
      </x:c>
      <x:c r="L15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5" s="23" t="str">
        <x:v>TO DO HUMAN</x:v>
      </x:c>
      <x:c r="N15" s="23" t="str">
        <x:v>Pending human audit. Confirm matrix traceability and approve every SPECIFICATION GAP oracle before execution.</x:v>
      </x:c>
      <x:c r="O15" s="23"/>
      <x:c r="P15" s="23"/>
      <x:c r="Q15" s="23" t="str">
        <x:v>FR13-API-TC011 | Characterize a fractional delivered total_amount without inventing precision rules</x:v>
      </x:c>
      <x:c r="R15" s="23"/>
      <x:c r="S15" s="23" t="str">
        <x:v>NOT RUN</x:v>
      </x:c>
      <x:c r="T15" s="23"/>
      <x:c r="U15" s="23" t="str">
        <x:v>Trace: Domain—fractional amount, precision and scale gaps.</x:v>
      </x:c>
    </x:row>
    <x:row r="16" ht="205.1999969482422" hidden="0" customHeight="1">
      <x:c r="A16" s="23" t="str">
        <x:v>FR13-API-TC012</x:v>
      </x:c>
      <x:c r="B16" s="23" t="str">
        <x:v>FR-13</x:v>
      </x:c>
      <x:c r="C16" s="23" t="str">
        <x:v>GET /api/admin/orders</x:v>
      </x:c>
      <x:c r="D16" s="23" t="str">
        <x:v>AI</x:v>
      </x:c>
      <x:c r="E16" s="23" t="str">
        <x:v>Domain</x:v>
      </x:c>
      <x:c r="F16" s="23" t="str">
        <x:v>Characterize an undocumented status query without replacing the all-order oracle</x:v>
      </x:c>
      <x:c r="G16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Complete mixed dataset baseline is known.</x:v>
      </x:c>
      <x:c r="H16" s="23" t="str">
        <x:v>GET /api/admin/orders?status=delivered; Authorization: Bearer {{adminToken}}</x:v>
      </x:c>
      <x:c r="I16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/api/admin/orders?status=delivered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Ignore-versus-reject/filter is unspecified. Any filtered response cannot replace the required complete dataset for derived order count; no mutation.</x:v>
      </x:c>
      <x:c r="J16" s="23" t="str">
        <x:v>SPECIFICATION GAP — HUMAN DECISION REQUIRED: handling/status for undocumented query, body, or header input is not defined.</x:v>
      </x:c>
      <x:c r="K16" s="23" t="str">
        <x:v>Ignore-versus-reject/filter is unspecified. Any filtered response cannot replace the required complete dataset for derived order count; no mutation.</x:v>
      </x:c>
      <x:c r="L16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6" s="23" t="str">
        <x:v>TO DO HUMAN</x:v>
      </x:c>
      <x:c r="N16" s="23" t="str">
        <x:v>Pending human audit. Confirm matrix traceability and approve every SPECIFICATION GAP oracle before execution.</x:v>
      </x:c>
      <x:c r="O16" s="23"/>
      <x:c r="P16" s="23"/>
      <x:c r="Q16" s="23" t="str">
        <x:v>FR13-API-TC012 | Characterize an undocumented status query without replacing the all-order oracle</x:v>
      </x:c>
      <x:c r="R16" s="23"/>
      <x:c r="S16" s="23" t="str">
        <x:v>NOT RUN</x:v>
      </x:c>
      <x:c r="T16" s="23"/>
      <x:c r="U16" s="23" t="str">
        <x:v>Trace: Domain—unexpected query field and completeness gap.</x:v>
      </x:c>
    </x:row>
    <x:row r="17" ht="205.1999969482422" hidden="0" customHeight="1">
      <x:c r="A17" s="23" t="str">
        <x:v>FR13-API-TC013</x:v>
      </x:c>
      <x:c r="B17" s="23" t="str">
        <x:v>FR-13</x:v>
      </x:c>
      <x:c r="C17" s="23" t="str">
        <x:v>GET /api/admin/orders</x:v>
      </x:c>
      <x:c r="D17" s="23" t="str">
        <x:v>AI</x:v>
      </x:c>
      <x:c r="E17" s="23" t="str">
        <x:v>Domain</x:v>
      </x:c>
      <x:c r="F17" s="23" t="str">
        <x:v>Characterize undocumented pagination parameters and completeness risk</x:v>
      </x:c>
      <x:c r="G17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Complete dataset contains at least three uniquely controlled logical orders.</x:v>
      </x:c>
      <x:c r="H17" s="23" t="str">
        <x:v>GET /api/admin/orders?page=1&amp;limit=1</x:v>
      </x:c>
      <x:c r="I17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/api/admin/orders?page=1&amp;limit=1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Pagination handling is unspecified. Derived revenue/order count must use the complete dataset; a partial page cannot be silently treated as all orders.</x:v>
      </x:c>
      <x:c r="J17" s="23" t="str">
        <x:v>SPECIFICATION GAP — HUMAN DECISION REQUIRED: handling/status for undocumented query, body, or header input is not defined.</x:v>
      </x:c>
      <x:c r="K17" s="23" t="str">
        <x:v>Pagination handling is unspecified. Derived revenue/order count must use the complete dataset; a partial page cannot be silently treated as all orders.</x:v>
      </x:c>
      <x:c r="L17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7" s="23" t="str">
        <x:v>TO DO HUMAN</x:v>
      </x:c>
      <x:c r="N17" s="23" t="str">
        <x:v>Pending human audit. Confirm matrix traceability and approve every SPECIFICATION GAP oracle before execution.</x:v>
      </x:c>
      <x:c r="O17" s="23"/>
      <x:c r="P17" s="23"/>
      <x:c r="Q17" s="23" t="str">
        <x:v>FR13-API-TC013 | Characterize undocumented pagination parameters and completeness risk</x:v>
      </x:c>
      <x:c r="R17" s="23"/>
      <x:c r="S17" s="23" t="str">
        <x:v>NOT RUN</x:v>
      </x:c>
      <x:c r="T17" s="23"/>
      <x:c r="U17" s="23" t="str">
        <x:v>Trace: Domain—pagination/query gaps; Schema—completeness metadata gap.</x:v>
      </x:c>
    </x:row>
    <x:row r="18" ht="216" hidden="0" customHeight="1">
      <x:c r="A18" s="23" t="str">
        <x:v>FR13-API-TC014</x:v>
      </x:c>
      <x:c r="B18" s="23" t="str">
        <x:v>FR-13</x:v>
      </x:c>
      <x:c r="C18" s="23" t="str">
        <x:v>GET /api/admin/orders</x:v>
      </x:c>
      <x:c r="D18" s="23" t="str">
        <x:v>AI</x:v>
      </x:c>
      <x:c r="E18" s="23" t="str">
        <x:v>Domain</x:v>
      </x:c>
      <x:c r="F18" s="23" t="str">
        <x:v>Characterize an aggregate-shaped JSON body on the bodyless GET</x:v>
      </x:c>
      <x:c r="G18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Baseline dataset and derived tuple are captured.</x:v>
      </x:c>
      <x:c r="H18" s="23" t="str">
        <x:v>Content-Type: application/json; body={"aggregate":true,"status":"delivered"}</x:v>
      </x:c>
      <x:c r="I18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 plus the exact recorded body and Content-Type.
4. Capture HTTP status, response headers, and raw body without assuming an undocumented schema.
5. Treat returned orders only as Dashboard input; calculate the derived business oracle independently and do not require revenue/order-count response fields.
6. Apply oracle: Present-body handling is unspecified. The request must not mutate orders, and aggregate fields are not required from the target response.</x:v>
      </x:c>
      <x:c r="J18" s="23" t="str">
        <x:v>SPECIFICATION GAP — HUMAN DECISION REQUIRED: handling/status for undocumented query, body, or header input is not defined.</x:v>
      </x:c>
      <x:c r="K18" s="23" t="str">
        <x:v>Present-body handling is unspecified. The request must not mutate orders, and aggregate fields are not required from the target response.</x:v>
      </x:c>
      <x:c r="L18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8" s="23" t="str">
        <x:v>TO DO HUMAN</x:v>
      </x:c>
      <x:c r="N18" s="23" t="str">
        <x:v>Pending human audit. Confirm matrix traceability and approve every SPECIFICATION GAP oracle before execution.</x:v>
      </x:c>
      <x:c r="O18" s="23"/>
      <x:c r="P18" s="23"/>
      <x:c r="Q18" s="23" t="str">
        <x:v>FR13-API-TC014 | Characterize an aggregate-shaped JSON body on the bodyless GET</x:v>
      </x:c>
      <x:c r="R18" s="23"/>
      <x:c r="S18" s="23" t="str">
        <x:v>NOT RUN</x:v>
      </x:c>
      <x:c r="T18" s="23"/>
      <x:c r="U18" s="23" t="str">
        <x:v>Trace: Domain—GET body/extra fields; State—read-only preservation.</x:v>
      </x:c>
    </x:row>
    <x:row r="19" ht="205.1999969482422" hidden="0" customHeight="1">
      <x:c r="A19" s="23" t="str">
        <x:v>FR13-API-TC015</x:v>
      </x:c>
      <x:c r="B19" s="23" t="str">
        <x:v>FR-13</x:v>
      </x:c>
      <x:c r="C19" s="23" t="str">
        <x:v>GET /api/admin/orders</x:v>
      </x:c>
      <x:c r="D19" s="23" t="str">
        <x:v>AI</x:v>
      </x:c>
      <x:c r="E19" s="23" t="str">
        <x:v>Domain</x:v>
      </x:c>
      <x:c r="F19" s="23" t="str">
        <x:v>Exercise the documented bodyless GET header partition without requiring Content-Type</x:v>
      </x:c>
      <x:c r="G19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controlled complete dataset.</x:v>
      </x:c>
      <x:c r="H19" s="23" t="str">
        <x:v>Authorization present; Content-Type omitted; Accept omitted</x:v>
      </x:c>
      <x:c r="I19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Request uses the documented header/body shape. Derived business oracle is calculated from the complete returned input; success status/Content-Type remain unspecified.</x:v>
      </x:c>
      <x:c r="J19" s="23" t="str">
        <x:v>SPECIFICATION GAP — HUMAN DECISION REQUIRED: success HTTP status for GET /api/admin/orders is not documented.</x:v>
      </x:c>
      <x:c r="K19" s="23" t="str">
        <x:v>Request uses the documented header/body shape. Derived business oracle is calculated from the complete returned input; success status/Content-Type remain unspecified.</x:v>
      </x:c>
      <x:c r="L19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19" s="23" t="str">
        <x:v>TO DO HUMAN</x:v>
      </x:c>
      <x:c r="N19" s="23" t="str">
        <x:v>Pending human audit. Confirm matrix traceability and approve every SPECIFICATION GAP oracle before execution.</x:v>
      </x:c>
      <x:c r="O19" s="23"/>
      <x:c r="P19" s="23"/>
      <x:c r="Q19" s="23" t="str">
        <x:v>FR13-API-TC015 | Exercise the documented bodyless GET header partition without requiring Content-Type</x:v>
      </x:c>
      <x:c r="R19" s="23"/>
      <x:c r="S19" s="23" t="str">
        <x:v>NOT RUN</x:v>
      </x:c>
      <x:c r="T19" s="23"/>
      <x:c r="U19" s="23" t="str">
        <x:v>Trace: Domain—Authorization valid, body omitted, Content-Type omitted, Accept omitted.</x:v>
      </x:c>
    </x:row>
    <x:row r="20" ht="183.60000610351562" hidden="0" customHeight="1">
      <x:c r="A20" s="23" t="str">
        <x:v>FR13-API-TC016</x:v>
      </x:c>
      <x:c r="B20" s="23" t="str">
        <x:v>FR-13</x:v>
      </x:c>
      <x:c r="C20" s="23" t="str">
        <x:v>GET /api/admin/orders</x:v>
      </x:c>
      <x:c r="D20" s="23" t="str">
        <x:v>AI</x:v>
      </x:c>
      <x:c r="E20" s="23" t="str">
        <x:v>State</x:v>
      </x:c>
      <x:c r="F20" s="23" t="str">
        <x:v>Preserve empty state S0 across the selected GET</x:v>
      </x:c>
      <x:c r="G20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Known S0 empty storage; valid admin JWT.</x:v>
      </x:c>
      <x:c r="H20" s="23" t="str">
        <x:v>Initial S0; D=[]</x:v>
      </x:c>
      <x:c r="I20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State oracle: S0→S0. Derived business oracle remains revenue=0, order count=0.</x:v>
      </x:c>
      <x:c r="J20" s="23" t="str">
        <x:v>SPECIFICATION GAP — HUMAN DECISION REQUIRED: success HTTP status for GET /api/admin/orders is not documented.</x:v>
      </x:c>
      <x:c r="K20" s="23" t="str">
        <x:v>State oracle: S0→S0. Derived business oracle remains revenue=0, order count=0.</x:v>
      </x:c>
      <x:c r="L20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0" s="23" t="str">
        <x:v>TO DO HUMAN</x:v>
      </x:c>
      <x:c r="N20" s="23" t="str">
        <x:v>Pending human audit. Confirm matrix traceability and approve every SPECIFICATION GAP oracle before execution.</x:v>
      </x:c>
      <x:c r="O20" s="23"/>
      <x:c r="P20" s="23"/>
      <x:c r="Q20" s="23" t="str">
        <x:v>FR13-API-TC016 | Preserve empty state S0 across the selected GET</x:v>
      </x:c>
      <x:c r="R20" s="23"/>
      <x:c r="S20" s="23" t="str">
        <x:v>NOT RUN</x:v>
      </x:c>
      <x:c r="T20" s="23"/>
      <x:c r="U20" s="23" t="str">
        <x:v>Trace: State—S0 read-only self-transition.</x:v>
      </x:c>
    </x:row>
    <x:row r="21" ht="194.39999389648438" hidden="0" customHeight="1">
      <x:c r="A21" s="23" t="str">
        <x:v>FR13-API-TC017</x:v>
      </x:c>
      <x:c r="B21" s="23" t="str">
        <x:v>FR-13</x:v>
      </x:c>
      <x:c r="C21" s="23" t="str">
        <x:v>GET /api/admin/orders</x:v>
      </x:c>
      <x:c r="D21" s="23" t="str">
        <x:v>AI</x:v>
      </x:c>
      <x:c r="E21" s="23" t="str">
        <x:v>State</x:v>
      </x:c>
      <x:c r="F21" s="23" t="str">
        <x:v>Transition from S0 to S1 through pending-order setup and observe with the selected GET</x:v>
      </x:c>
      <x:c r="G21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S0 baseline; setup checkout creates one uniquely controlled pending order amount 90000.</x:v>
      </x:c>
      <x:c r="H21" s="23" t="str">
        <x:v>Setup only: POST /api/checkout =&gt; pending:90000; selected request remains GET /api/admin/orders</x:v>
      </x:c>
      <x:c r="I21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Setup transition S0→S1; selected GET preserves S1. Derived business oracle: revenue=0, order count=1.</x:v>
      </x:c>
      <x:c r="J21" s="23" t="str">
        <x:v>SPECIFICATION GAP — HUMAN DECISION REQUIRED: success HTTP status for GET /api/admin/orders is not documented.</x:v>
      </x:c>
      <x:c r="K21" s="23" t="str">
        <x:v>Setup transition S0→S1; selected GET preserves S1. Derived business oracle: revenue=0, order count=1.</x:v>
      </x:c>
      <x:c r="L21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1" s="23" t="str">
        <x:v>TO DO HUMAN</x:v>
      </x:c>
      <x:c r="N21" s="23" t="str">
        <x:v>Pending human audit. Confirm matrix traceability and approve every SPECIFICATION GAP oracle before execution.</x:v>
      </x:c>
      <x:c r="O21" s="23"/>
      <x:c r="P21" s="23"/>
      <x:c r="Q21" s="23" t="str">
        <x:v>FR13-API-TC017 | Transition from S0 to S1 through pending-order setup and observe with the selected GET</x:v>
      </x:c>
      <x:c r="R21" s="23"/>
      <x:c r="S21" s="23" t="str">
        <x:v>NOT RUN</x:v>
      </x:c>
      <x:c r="T21" s="23"/>
      <x:c r="U21" s="23" t="str">
        <x:v>Trace: State—S0→S1; setup API explicitly not selected.</x:v>
      </x:c>
    </x:row>
    <x:row r="22" ht="183.60000610351562" hidden="0" customHeight="1">
      <x:c r="A22" s="23" t="str">
        <x:v>FR13-API-TC018</x:v>
      </x:c>
      <x:c r="B22" s="23" t="str">
        <x:v>FR-13</x:v>
      </x:c>
      <x:c r="C22" s="23" t="str">
        <x:v>GET /api/admin/orders</x:v>
      </x:c>
      <x:c r="D22" s="23" t="str">
        <x:v>AI</x:v>
      </x:c>
      <x:c r="E22" s="23" t="str">
        <x:v>State</x:v>
      </x:c>
      <x:c r="F22" s="23" t="str">
        <x:v>Preserve a non-delivered-only S1 dataset during retrieval</x:v>
      </x:c>
      <x:c r="G22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D contains pending, confirmed, shipping, and canceled orders.</x:v>
      </x:c>
      <x:c r="H22" s="23" t="str">
        <x:v>Initial S1 with N=4</x:v>
      </x:c>
      <x:c r="I22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State oracle: S1→S1. Derived business oracle remains revenue=0, order count=4.</x:v>
      </x:c>
      <x:c r="J22" s="23" t="str">
        <x:v>SPECIFICATION GAP — HUMAN DECISION REQUIRED: success HTTP status for GET /api/admin/orders is not documented.</x:v>
      </x:c>
      <x:c r="K22" s="23" t="str">
        <x:v>State oracle: S1→S1. Derived business oracle remains revenue=0, order count=4.</x:v>
      </x:c>
      <x:c r="L22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2" s="23" t="str">
        <x:v>TO DO HUMAN</x:v>
      </x:c>
      <x:c r="N22" s="23" t="str">
        <x:v>Pending human audit. Confirm matrix traceability and approve every SPECIFICATION GAP oracle before execution.</x:v>
      </x:c>
      <x:c r="O22" s="23"/>
      <x:c r="P22" s="23"/>
      <x:c r="Q22" s="23" t="str">
        <x:v>FR13-API-TC018 | Preserve a non-delivered-only S1 dataset during retrieval</x:v>
      </x:c>
      <x:c r="R22" s="23"/>
      <x:c r="S22" s="23" t="str">
        <x:v>NOT RUN</x:v>
      </x:c>
      <x:c r="T22" s="23"/>
      <x:c r="U22" s="23" t="str">
        <x:v>Trace: State—S1 GET self-transition.</x:v>
      </x:c>
    </x:row>
    <x:row r="23" ht="194.39999389648438" hidden="0" customHeight="1">
      <x:c r="A23" s="23" t="str">
        <x:v>FR13-API-TC019</x:v>
      </x:c>
      <x:c r="B23" s="23" t="str">
        <x:v>FR-13</x:v>
      </x:c>
      <x:c r="C23" s="23" t="str">
        <x:v>GET /api/admin/orders</x:v>
      </x:c>
      <x:c r="D23" s="23" t="str">
        <x:v>AI</x:v>
      </x:c>
      <x:c r="E23" s="23" t="str">
        <x:v>State</x:v>
      </x:c>
      <x:c r="F23" s="23" t="str">
        <x:v>Keep Dashboard aggregates unchanged for pending to confirmed setup transition</x:v>
      </x:c>
      <x:c r="G23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One controlled order changes pending→confirmed; dataset membership and amount remain fixed.</x:v>
      </x:c>
      <x:c r="H23" s="23" t="str">
        <x:v>Before pending:50000; setup PUT status=confirmed; after expected confirmed:50000</x:v>
      </x:c>
      <x:c r="I23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Selected GET verifies status change and same membership. Derived business oracle before/after: revenue=0, order count=1.</x:v>
      </x:c>
      <x:c r="J23" s="23" t="str">
        <x:v>SPECIFICATION GAP — HUMAN DECISION REQUIRED: success HTTP status for GET /api/admin/orders is not documented.</x:v>
      </x:c>
      <x:c r="K23" s="23" t="str">
        <x:v>Selected GET verifies status change and same membership. Derived business oracle before/after: revenue=0, order count=1.</x:v>
      </x:c>
      <x:c r="L23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3" s="23" t="str">
        <x:v>TO DO HUMAN</x:v>
      </x:c>
      <x:c r="N23" s="23" t="str">
        <x:v>Pending human audit. Confirm matrix traceability and approve every SPECIFICATION GAP oracle before execution.</x:v>
      </x:c>
      <x:c r="O23" s="23"/>
      <x:c r="P23" s="23"/>
      <x:c r="Q23" s="23" t="str">
        <x:v>FR13-API-TC019 | Keep Dashboard aggregates unchanged for pending to confirmed setup transition</x:v>
      </x:c>
      <x:c r="R23" s="23"/>
      <x:c r="S23" s="23" t="str">
        <x:v>NOT RUN</x:v>
      </x:c>
      <x:c r="T23" s="23"/>
      <x:c r="U23" s="23" t="str">
        <x:v>Trace: State—legal non-delivered transition; aggregates unchanged.</x:v>
      </x:c>
    </x:row>
    <x:row r="24" ht="194.39999389648438" hidden="0" customHeight="1">
      <x:c r="A24" s="23" t="str">
        <x:v>FR13-API-TC020</x:v>
      </x:c>
      <x:c r="B24" s="23" t="str">
        <x:v>FR-13</x:v>
      </x:c>
      <x:c r="C24" s="23" t="str">
        <x:v>GET /api/admin/orders</x:v>
      </x:c>
      <x:c r="D24" s="23" t="str">
        <x:v>AI</x:v>
      </x:c>
      <x:c r="E24" s="23" t="str">
        <x:v>State</x:v>
      </x:c>
      <x:c r="F24" s="23" t="str">
        <x:v>Keep Dashboard aggregates unchanged for confirmed to shipping setup transition</x:v>
      </x:c>
      <x:c r="G24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One controlled order changes confirmed→shipping.</x:v>
      </x:c>
      <x:c r="H24" s="23" t="str">
        <x:v>Before confirmed:60000; setup PUT status=shipping</x:v>
      </x:c>
      <x:c r="I24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 remains revenue=0 and order count=1; selected GET is read-only.</x:v>
      </x:c>
      <x:c r="J24" s="23" t="str">
        <x:v>SPECIFICATION GAP — HUMAN DECISION REQUIRED: success HTTP status for GET /api/admin/orders is not documented.</x:v>
      </x:c>
      <x:c r="K24" s="23" t="str">
        <x:v>Derived business oracle remains revenue=0 and order count=1; selected GET is read-only.</x:v>
      </x:c>
      <x:c r="L24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4" s="23" t="str">
        <x:v>TO DO HUMAN</x:v>
      </x:c>
      <x:c r="N24" s="23" t="str">
        <x:v>Pending human audit. Confirm matrix traceability and approve every SPECIFICATION GAP oracle before execution.</x:v>
      </x:c>
      <x:c r="O24" s="23"/>
      <x:c r="P24" s="23"/>
      <x:c r="Q24" s="23" t="str">
        <x:v>FR13-API-TC020 | Keep Dashboard aggregates unchanged for confirmed to shipping setup transition</x:v>
      </x:c>
      <x:c r="R24" s="23"/>
      <x:c r="S24" s="23" t="str">
        <x:v>NOT RUN</x:v>
      </x:c>
      <x:c r="T24" s="23"/>
      <x:c r="U24" s="23" t="str">
        <x:v>Trace: State—legal confirmed→shipping; no delivered revenue yet.</x:v>
      </x:c>
    </x:row>
    <x:row r="25" ht="194.39999389648438" hidden="0" customHeight="1">
      <x:c r="A25" s="23" t="str">
        <x:v>FR13-API-TC021</x:v>
      </x:c>
      <x:c r="B25" s="23" t="str">
        <x:v>FR-13</x:v>
      </x:c>
      <x:c r="C25" s="23" t="str">
        <x:v>GET /api/admin/orders</x:v>
      </x:c>
      <x:c r="D25" s="23" t="str">
        <x:v>AI</x:v>
      </x:c>
      <x:c r="E25" s="23" t="str">
        <x:v>State</x:v>
      </x:c>
      <x:c r="F25" s="23" t="str">
        <x:v>Increase revenue but not order count when shipping becomes delivered</x:v>
      </x:c>
      <x:c r="G25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One shipping order amount 80000 exists; setup legally changes it to delivered.</x:v>
      </x:c>
      <x:c r="H25" s="23" t="str">
        <x:v>Before S1=(R0,C1); setup PUT status=delivered; amount=80000</x:v>
      </x:c>
      <x:c r="I25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Selected GET verifies delivered state. Derived business oracle changes to revenue=80000, order count=1.</x:v>
      </x:c>
      <x:c r="J25" s="23" t="str">
        <x:v>SPECIFICATION GAP — HUMAN DECISION REQUIRED: success HTTP status for GET /api/admin/orders is not documented.</x:v>
      </x:c>
      <x:c r="K25" s="23" t="str">
        <x:v>Selected GET verifies delivered state. Derived business oracle changes to revenue=80000, order count=1.</x:v>
      </x:c>
      <x:c r="L25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5" s="23" t="str">
        <x:v>TO DO HUMAN</x:v>
      </x:c>
      <x:c r="N25" s="23" t="str">
        <x:v>Pending human audit. Confirm matrix traceability and approve every SPECIFICATION GAP oracle before execution.</x:v>
      </x:c>
      <x:c r="O25" s="23"/>
      <x:c r="P25" s="23"/>
      <x:c r="Q25" s="23" t="str">
        <x:v>FR13-API-TC021 | Increase revenue but not order count when shipping becomes delivered</x:v>
      </x:c>
      <x:c r="R25" s="23"/>
      <x:c r="S25" s="23" t="str">
        <x:v>NOT RUN</x:v>
      </x:c>
      <x:c r="T25" s="23"/>
      <x:c r="U25" s="23" t="str">
        <x:v>Trace: State—S1→S2 delivery transition.</x:v>
      </x:c>
    </x:row>
    <x:row r="26" ht="194.39999389648438" hidden="0" customHeight="1">
      <x:c r="A26" s="23" t="str">
        <x:v>FR13-API-TC022</x:v>
      </x:c>
      <x:c r="B26" s="23" t="str">
        <x:v>FR-13</x:v>
      </x:c>
      <x:c r="C26" s="23" t="str">
        <x:v>GET /api/admin/orders</x:v>
      </x:c>
      <x:c r="D26" s="23" t="str">
        <x:v>AI</x:v>
      </x:c>
      <x:c r="E26" s="23" t="str">
        <x:v>State</x:v>
      </x:c>
      <x:c r="F26" s="23" t="str">
        <x:v>Increase order count without revenue when pending order is added to delivered-only S2</x:v>
      </x:c>
      <x:c r="G26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S2 contains delivered 100000; setup checkout adds pending 40000.</x:v>
      </x:c>
      <x:c r="H26" s="23" t="str">
        <x:v>Before (R100000,C1); add pending:40000</x:v>
      </x:c>
      <x:c r="I26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State S2→S3. Derived business oracle after GET: revenue=100000 unchanged; order count=2.</x:v>
      </x:c>
      <x:c r="J26" s="23" t="str">
        <x:v>SPECIFICATION GAP — HUMAN DECISION REQUIRED: success HTTP status for GET /api/admin/orders is not documented.</x:v>
      </x:c>
      <x:c r="K26" s="23" t="str">
        <x:v>State S2→S3. Derived business oracle after GET: revenue=100000 unchanged; order count=2.</x:v>
      </x:c>
      <x:c r="L26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6" s="23" t="str">
        <x:v>TO DO HUMAN</x:v>
      </x:c>
      <x:c r="N26" s="23" t="str">
        <x:v>Pending human audit. Confirm matrix traceability and approve every SPECIFICATION GAP oracle before execution.</x:v>
      </x:c>
      <x:c r="O26" s="23"/>
      <x:c r="P26" s="23"/>
      <x:c r="Q26" s="23" t="str">
        <x:v>FR13-API-TC022 | Increase order count without revenue when pending order is added to delivered-only S2</x:v>
      </x:c>
      <x:c r="R26" s="23"/>
      <x:c r="S26" s="23" t="str">
        <x:v>NOT RUN</x:v>
      </x:c>
      <x:c r="T26" s="23"/>
      <x:c r="U26" s="23" t="str">
        <x:v>Trace: State—S2→S3 by new pending order.</x:v>
      </x:c>
    </x:row>
    <x:row r="27" ht="183.60000610351562" hidden="0" customHeight="1">
      <x:c r="A27" s="23" t="str">
        <x:v>FR13-API-TC023</x:v>
      </x:c>
      <x:c r="B27" s="23" t="str">
        <x:v>FR-13</x:v>
      </x:c>
      <x:c r="C27" s="23" t="str">
        <x:v>GET /api/admin/orders</x:v>
      </x:c>
      <x:c r="D27" s="23" t="str">
        <x:v>AI</x:v>
      </x:c>
      <x:c r="E27" s="23" t="str">
        <x:v>State</x:v>
      </x:c>
      <x:c r="F27" s="23" t="str">
        <x:v>Increase both revenue and count when a newly created order reaches delivered</x:v>
      </x:c>
      <x:c r="G27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Mixed baseline R=100000,C=2; setup creates amount 70000 and legally progresses it to delivered.</x:v>
      </x:c>
      <x:c r="H27" s="23" t="str">
        <x:v>Before (R100000,C2); new delivered:70000</x:v>
      </x:c>
      <x:c r="I27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 after GET: revenue=170000; order count=3; no multiplier.</x:v>
      </x:c>
      <x:c r="J27" s="23" t="str">
        <x:v>SPECIFICATION GAP — HUMAN DECISION REQUIRED: success HTTP status for GET /api/admin/orders is not documented.</x:v>
      </x:c>
      <x:c r="K27" s="23" t="str">
        <x:v>Derived business oracle after GET: revenue=170000; order count=3; no multiplier.</x:v>
      </x:c>
      <x:c r="L27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7" s="23" t="str">
        <x:v>TO DO HUMAN</x:v>
      </x:c>
      <x:c r="N27" s="23" t="str">
        <x:v>Pending human audit. Confirm matrix traceability and approve every SPECIFICATION GAP oracle before execution.</x:v>
      </x:c>
      <x:c r="O27" s="23"/>
      <x:c r="P27" s="23"/>
      <x:c r="Q27" s="23" t="str">
        <x:v>FR13-API-TC023 | Increase both revenue and count when a newly created order reaches delivered</x:v>
      </x:c>
      <x:c r="R27" s="23"/>
      <x:c r="S27" s="23" t="str">
        <x:v>NOT RUN</x:v>
      </x:c>
      <x:c r="T27" s="23"/>
      <x:c r="U27" s="23" t="str">
        <x:v>Trace: State—new delivered order changes R and C.</x:v>
      </x:c>
    </x:row>
    <x:row r="28" ht="194.39999389648438" hidden="0" customHeight="1">
      <x:c r="A28" s="23" t="str">
        <x:v>FR13-API-TC024</x:v>
      </x:c>
      <x:c r="B28" s="23" t="str">
        <x:v>FR-13</x:v>
      </x:c>
      <x:c r="C28" s="23" t="str">
        <x:v>GET /api/admin/orders</x:v>
      </x:c>
      <x:c r="D28" s="23" t="str">
        <x:v>AI</x:v>
      </x:c>
      <x:c r="E28" s="23" t="str">
        <x:v>State</x:v>
      </x:c>
      <x:c r="F28" s="23" t="str">
        <x:v>Preserve aggregates when a permitted non-delivered order becomes canceled</x:v>
      </x:c>
      <x:c r="G28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Mixed baseline contains confirmed amount 30000 plus delivered 90000; setup performs permitted cancellation.</x:v>
      </x:c>
      <x:c r="H28" s="23" t="str">
        <x:v>Before confirmed:30000,delivered:90000; after canceled:30000,delivered:90000</x:v>
      </x:c>
      <x:c r="I28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 remains revenue=90000, order count=2; selected GET verifies membership/status.</x:v>
      </x:c>
      <x:c r="J28" s="23" t="str">
        <x:v>SPECIFICATION GAP — HUMAN DECISION REQUIRED: success HTTP status for GET /api/admin/orders is not documented.</x:v>
      </x:c>
      <x:c r="K28" s="23" t="str">
        <x:v>Derived business oracle remains revenue=90000, order count=2; selected GET verifies membership/status.</x:v>
      </x:c>
      <x:c r="L28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8" s="23" t="str">
        <x:v>TO DO HUMAN</x:v>
      </x:c>
      <x:c r="N28" s="23" t="str">
        <x:v>Pending human audit. Confirm matrix traceability and approve every SPECIFICATION GAP oracle before execution.</x:v>
      </x:c>
      <x:c r="O28" s="23"/>
      <x:c r="P28" s="23"/>
      <x:c r="Q28" s="23" t="str">
        <x:v>FR13-API-TC024 | Preserve aggregates when a permitted non-delivered order becomes canceled</x:v>
      </x:c>
      <x:c r="R28" s="23"/>
      <x:c r="S28" s="23" t="str">
        <x:v>NOT RUN</x:v>
      </x:c>
      <x:c r="T28" s="23"/>
      <x:c r="U28" s="23" t="str">
        <x:v>Trace: State—non-delivered→canceled; all orders still count.</x:v>
      </x:c>
    </x:row>
    <x:row r="29" ht="216" hidden="0" customHeight="1">
      <x:c r="A29" s="23" t="str">
        <x:v>FR13-API-TC025</x:v>
      </x:c>
      <x:c r="B29" s="23" t="str">
        <x:v>FR-13</x:v>
      </x:c>
      <x:c r="C29" s="23" t="str">
        <x:v>GET /api/admin/orders</x:v>
      </x:c>
      <x:c r="D29" s="23" t="str">
        <x:v>AI</x:v>
      </x:c>
      <x:c r="E29" s="23" t="str">
        <x:v>State</x:v>
      </x:c>
      <x:c r="F29" s="23" t="str">
        <x:v>Preserve terminal order and Dashboard tuple after a forbidden status transition setup</x:v>
      </x:c>
      <x:c r="G29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Controlled delivered or canceled terminal order; baseline tuple captured; setup attempts forbidden next status.</x:v>
      </x:c>
      <x:c r="H29" s="23" t="str">
        <x:v>Terminal delivered:110000; setup attempt delivered→pending</x:v>
      </x:c>
      <x:c r="I29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Expected setup rejection preserves stored status. Selected GET yields unchanged dataset; derived business oracle remains revenue=110000, order count=1. Setup rejection status is unspecified.</x:v>
      </x:c>
      <x:c r="J29" s="23" t="str">
        <x:v>SPECIFICATION GAP — HUMAN DECISION REQUIRED: success HTTP status for GET /api/admin/orders is not documented.</x:v>
      </x:c>
      <x:c r="K29" s="23" t="str">
        <x:v>Expected setup rejection preserves stored status. Selected GET yields unchanged dataset; derived business oracle remains revenue=110000, order count=1. Setup rejection status is unspecified.</x:v>
      </x:c>
      <x:c r="L29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29" s="23" t="str">
        <x:v>TO DO HUMAN</x:v>
      </x:c>
      <x:c r="N29" s="23" t="str">
        <x:v>Pending human audit. Confirm matrix traceability and approve every SPECIFICATION GAP oracle before execution.</x:v>
      </x:c>
      <x:c r="O29" s="23"/>
      <x:c r="P29" s="23"/>
      <x:c r="Q29" s="23" t="str">
        <x:v>FR13-API-TC025 | Preserve terminal order and Dashboard tuple after a forbidden status transition setup</x:v>
      </x:c>
      <x:c r="R29" s="23"/>
      <x:c r="S29" s="23" t="str">
        <x:v>NOT RUN</x:v>
      </x:c>
      <x:c r="T29" s="23"/>
      <x:c r="U29" s="23" t="str">
        <x:v>Trace: State—invalid terminal transition preservation; setup not target.</x:v>
      </x:c>
    </x:row>
    <x:row r="30" ht="205.1999969482422" hidden="0" customHeight="1">
      <x:c r="A30" s="23" t="str">
        <x:v>FR13-API-TC026</x:v>
      </x:c>
      <x:c r="B30" s="23" t="str">
        <x:v>FR-13</x:v>
      </x:c>
      <x:c r="C30" s="23" t="str">
        <x:v>GET /api/admin/orders</x:v>
      </x:c>
      <x:c r="D30" s="23" t="str">
        <x:v>AI</x:v>
      </x:c>
      <x:c r="E30" s="23" t="str">
        <x:v>Security</x:v>
      </x:c>
      <x:c r="F30" s="23" t="str">
        <x:v>Prevent all-system order disclosure when Authorization is missing</x:v>
      </x:c>
      <x:c r="G30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Protected non-empty dataset exists; header intentionally omitted.</x:v>
      </x:c>
      <x:c r="H30" s="23" t="str">
        <x:v>Authorization: omitted</x:v>
      </x:c>
      <x:c r="I30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&lt;omitted&gt;.
4. Capture HTTP status, response headers, and raw body without assuming an undocumented schema.
5. Follow with an authorized admin GET /api/admin/orders and/or authorized storage inspection to verify dataset integrity and state preservation.
6. Apply oracle: No protected dataset disclosure and no state mutation. Derived business oracle cannot be calculated from an unauthorized response.</x:v>
      </x:c>
      <x:c r="J30" s="23" t="str">
        <x:v>SPECIFICATION GAP — HUMAN DECISION REQUIRED: authentication/authorization rejection status is undefined; do not assume 401 versus 403.</x:v>
      </x:c>
      <x:c r="K30" s="23" t="str">
        <x:v>No protected dataset disclosure and no state mutation. Derived business oracle cannot be calculated from an unauthorized response.</x:v>
      </x:c>
      <x:c r="L30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0" s="23" t="str">
        <x:v>TO DO HUMAN</x:v>
      </x:c>
      <x:c r="N30" s="23" t="str">
        <x:v>Pending human audit. Confirm matrix traceability and approve every SPECIFICATION GAP oracle before execution.</x:v>
      </x:c>
      <x:c r="O30" s="23"/>
      <x:c r="P30" s="23"/>
      <x:c r="Q30" s="23" t="str">
        <x:v>FR13-API-TC026 | Prevent all-system order disclosure when Authorization is missing</x:v>
      </x:c>
      <x:c r="R30" s="23"/>
      <x:c r="S30" s="23" t="str">
        <x:v>NOT RUN</x:v>
      </x:c>
      <x:c r="T30" s="23"/>
      <x:c r="U30" s="23" t="str">
        <x:v>Trace: Security—SEC-02 and missing authorization.</x:v>
      </x:c>
    </x:row>
    <x:row r="31" ht="194.39999389648438" hidden="0" customHeight="1">
      <x:c r="A31" s="23" t="str">
        <x:v>FR13-API-TC027</x:v>
      </x:c>
      <x:c r="B31" s="23" t="str">
        <x:v>FR-13</x:v>
      </x:c>
      <x:c r="C31" s="23" t="str">
        <x:v>GET /api/admin/orders</x:v>
      </x:c>
      <x:c r="D31" s="23" t="str">
        <x:v>AI</x:v>
      </x:c>
      <x:c r="E31" s="23" t="str">
        <x:v>Security</x:v>
      </x:c>
      <x:c r="F31" s="23" t="str">
        <x:v>Reject an empty Bearer credential without disclosing orders</x:v>
      </x:c>
      <x:c r="G31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Protected dataset baseline is known.</x:v>
      </x:c>
      <x:c r="H31" s="23" t="str">
        <x:v>Authorization: Bearer &lt;empty&gt;</x:v>
      </x:c>
      <x:c r="I31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.
4. Capture HTTP status, response headers, and raw body without assuming an undocumented schema.
5. Follow with an authorized admin GET /api/admin/orders and/or authorized storage inspection to verify dataset integrity and state preservation.
6. Apply oracle: No all-system order disclosure or mutation; exact rejection representation is unspecified.</x:v>
      </x:c>
      <x:c r="J31" s="23" t="str">
        <x:v>SPECIFICATION GAP — HUMAN DECISION REQUIRED: authentication/authorization rejection status is undefined; do not assume 401 versus 403.</x:v>
      </x:c>
      <x:c r="K31" s="23" t="str">
        <x:v>No all-system order disclosure or mutation; exact rejection representation is unspecified.</x:v>
      </x:c>
      <x:c r="L31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1" s="23" t="str">
        <x:v>TO DO HUMAN</x:v>
      </x:c>
      <x:c r="N31" s="23" t="str">
        <x:v>Pending human audit. Confirm matrix traceability and approve every SPECIFICATION GAP oracle before execution.</x:v>
      </x:c>
      <x:c r="O31" s="23"/>
      <x:c r="P31" s="23"/>
      <x:c r="Q31" s="23" t="str">
        <x:v>FR13-API-TC027 | Reject an empty Bearer credential without disclosing orders</x:v>
      </x:c>
      <x:c r="R31" s="23"/>
      <x:c r="S31" s="23" t="str">
        <x:v>NOT RUN</x:v>
      </x:c>
      <x:c r="T31" s="23"/>
      <x:c r="U31" s="23" t="str">
        <x:v>Trace: Security—empty JWT partition.</x:v>
      </x:c>
    </x:row>
    <x:row r="32" ht="183.60000610351562" hidden="0" customHeight="1">
      <x:c r="A32" s="23" t="str">
        <x:v>FR13-API-TC028</x:v>
      </x:c>
      <x:c r="B32" s="23" t="str">
        <x:v>FR-13</x:v>
      </x:c>
      <x:c r="C32" s="23" t="str">
        <x:v>GET /api/admin/orders</x:v>
      </x:c>
      <x:c r="D32" s="23" t="str">
        <x:v>AI</x:v>
      </x:c>
      <x:c r="E32" s="23" t="str">
        <x:v>Security</x:v>
      </x:c>
      <x:c r="F32" s="23" t="str">
        <x:v>Reject a malformed JWT serialization</x:v>
      </x:c>
      <x:c r="G32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Protected dataset exists; malformed token fixture prepared.</x:v>
      </x:c>
      <x:c r="H32" s="23" t="str">
        <x:v>Authorization: Bearer not-a-jwt</x:v>
      </x:c>
      <x:c r="I32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not-a-jwt.
4. Capture HTTP status, response headers, and raw body without assuming an undocumented schema.
5. Follow with an authorized admin GET /api/admin/orders and/or authorized storage inspection to verify dataset integrity and state preservation.
6. Apply oracle: No protected dataset disclosure or mutation; exact status/body is unspecified.</x:v>
      </x:c>
      <x:c r="J32" s="23" t="str">
        <x:v>SPECIFICATION GAP — HUMAN DECISION REQUIRED: authentication/authorization rejection status is undefined; do not assume 401 versus 403.</x:v>
      </x:c>
      <x:c r="K32" s="23" t="str">
        <x:v>No protected dataset disclosure or mutation; exact status/body is unspecified.</x:v>
      </x:c>
      <x:c r="L32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2" s="23" t="str">
        <x:v>TO DO HUMAN</x:v>
      </x:c>
      <x:c r="N32" s="23" t="str">
        <x:v>Pending human audit. Confirm matrix traceability and approve every SPECIFICATION GAP oracle before execution.</x:v>
      </x:c>
      <x:c r="O32" s="23"/>
      <x:c r="P32" s="23"/>
      <x:c r="Q32" s="23" t="str">
        <x:v>FR13-API-TC028 | Reject a malformed JWT serialization</x:v>
      </x:c>
      <x:c r="R32" s="23"/>
      <x:c r="S32" s="23" t="str">
        <x:v>NOT RUN</x:v>
      </x:c>
      <x:c r="T32" s="23"/>
      <x:c r="U32" s="23" t="str">
        <x:v>Trace: Security—malformed JWT.</x:v>
      </x:c>
    </x:row>
    <x:row r="33" ht="183.60000610351562" hidden="0" customHeight="1">
      <x:c r="A33" s="23" t="str">
        <x:v>FR13-API-TC029</x:v>
      </x:c>
      <x:c r="B33" s="23" t="str">
        <x:v>FR-13</x:v>
      </x:c>
      <x:c r="C33" s="23" t="str">
        <x:v>GET /api/admin/orders</x:v>
      </x:c>
      <x:c r="D33" s="23" t="str">
        <x:v>AI</x:v>
      </x:c>
      <x:c r="E33" s="23" t="str">
        <x:v>Security</x:v>
      </x:c>
      <x:c r="F33" s="23" t="str">
        <x:v>Reject a signature-tampered JWT</x:v>
      </x:c>
      <x:c r="G33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 is altered without re-signing.</x:v>
      </x:c>
      <x:c r="H33" s="23" t="str">
        <x:v>Authorization: Bearer {{tamperedAdminToken}}</x:v>
      </x:c>
      <x:c r="I33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{{tamperedAdminToken}}.
4. Capture HTTP status, response headers, and raw body without assuming an undocumented schema.
5. Follow with an authorized admin GET /api/admin/orders and/or authorized storage inspection to verify dataset integrity and state preservation.
6. Apply oracle: Tampered token cannot authorize access; no dataset disclosure or mutation.</x:v>
      </x:c>
      <x:c r="J33" s="23" t="str">
        <x:v>SPECIFICATION GAP — HUMAN DECISION REQUIRED: authentication/authorization rejection status is undefined; do not assume 401 versus 403.</x:v>
      </x:c>
      <x:c r="K33" s="23" t="str">
        <x:v>Tampered token cannot authorize access; no dataset disclosure or mutation.</x:v>
      </x:c>
      <x:c r="L33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3" s="23" t="str">
        <x:v>TO DO HUMAN</x:v>
      </x:c>
      <x:c r="N33" s="23" t="str">
        <x:v>Pending human audit. Confirm matrix traceability and approve every SPECIFICATION GAP oracle before execution.</x:v>
      </x:c>
      <x:c r="O33" s="23"/>
      <x:c r="P33" s="23"/>
      <x:c r="Q33" s="23" t="str">
        <x:v>FR13-API-TC029 | Reject a signature-tampered JWT</x:v>
      </x:c>
      <x:c r="R33" s="23"/>
      <x:c r="S33" s="23" t="str">
        <x:v>NOT RUN</x:v>
      </x:c>
      <x:c r="T33" s="23"/>
      <x:c r="U33" s="23" t="str">
        <x:v>Trace: Security—signature tampering and SEC-02.</x:v>
      </x:c>
    </x:row>
    <x:row r="34" ht="183.60000610351562" hidden="0" customHeight="1">
      <x:c r="A34" s="23" t="str">
        <x:v>FR13-API-TC030</x:v>
      </x:c>
      <x:c r="B34" s="23" t="str">
        <x:v>FR-13</x:v>
      </x:c>
      <x:c r="C34" s="23" t="str">
        <x:v>GET /api/admin/orders</x:v>
      </x:c>
      <x:c r="D34" s="23" t="str">
        <x:v>AI</x:v>
      </x:c>
      <x:c r="E34" s="23" t="str">
        <x:v>Security</x:v>
      </x:c>
      <x:c r="F34" s="23" t="str">
        <x:v>Reject an expired admin JWT</x:v>
      </x:c>
      <x:c r="G34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Expired signed admin-token fixture is available.</x:v>
      </x:c>
      <x:c r="H34" s="23" t="str">
        <x:v>Authorization: Bearer {{expiredAdminToken}}</x:v>
      </x:c>
      <x:c r="I34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{{expiredAdminToken}}.
4. Capture HTTP status, response headers, and raw body without assuming an undocumented schema.
5. Follow with an authorized admin GET /api/admin/orders and/or authorized storage inspection to verify dataset integrity and state preservation.
6. Apply oracle: Expired JWT does not authorize the system-wide list; no mutation.</x:v>
      </x:c>
      <x:c r="J34" s="23" t="str">
        <x:v>SPECIFICATION GAP — HUMAN DECISION REQUIRED: authentication/authorization rejection status is undefined; do not assume 401 versus 403.</x:v>
      </x:c>
      <x:c r="K34" s="23" t="str">
        <x:v>Expired JWT does not authorize the system-wide list; no mutation.</x:v>
      </x:c>
      <x:c r="L34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4" s="23" t="str">
        <x:v>TO DO HUMAN</x:v>
      </x:c>
      <x:c r="N34" s="23" t="str">
        <x:v>Pending human audit. Confirm matrix traceability and approve every SPECIFICATION GAP oracle before execution.</x:v>
      </x:c>
      <x:c r="O34" s="23"/>
      <x:c r="P34" s="23"/>
      <x:c r="Q34" s="23" t="str">
        <x:v>FR13-API-TC030 | Reject an expired admin JWT</x:v>
      </x:c>
      <x:c r="R34" s="23"/>
      <x:c r="S34" s="23" t="str">
        <x:v>NOT RUN</x:v>
      </x:c>
      <x:c r="T34" s="23"/>
      <x:c r="U34" s="23" t="str">
        <x:v>Trace: Security—expired JWT.</x:v>
      </x:c>
    </x:row>
    <x:row r="35" ht="183.60000610351562" hidden="0" customHeight="1">
      <x:c r="A35" s="23" t="str">
        <x:v>FR13-API-TC031</x:v>
      </x:c>
      <x:c r="B35" s="23" t="str">
        <x:v>FR-13</x:v>
      </x:c>
      <x:c r="C35" s="23" t="str">
        <x:v>GET /api/admin/orders</x:v>
      </x:c>
      <x:c r="D35" s="23" t="str">
        <x:v>AI</x:v>
      </x:c>
      <x:c r="E35" s="23" t="str">
        <x:v>Security</x:v>
      </x:c>
      <x:c r="F35" s="23" t="str">
        <x:v>Enforce admin role against a valid normal-user JWT</x:v>
      </x:c>
      <x:c r="G35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user and admin tokens exist; protected dataset non-empty.</x:v>
      </x:c>
      <x:c r="H35" s="23" t="str">
        <x:v>Authorization: Bearer {{userToken}}</x:v>
      </x:c>
      <x:c r="I35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{{userToken}}.
4. Capture HTTP status, response headers, and raw body without assuming an undocumented schema.
5. Follow with an authorized admin GET /api/admin/orders and/or authorized storage inspection to verify dataset integrity and state preservation.
6. Apply oracle: Valid user token must not receive the all-system dataset. State remains unchanged.</x:v>
      </x:c>
      <x:c r="J35" s="23" t="str">
        <x:v>SPECIFICATION GAP — HUMAN DECISION REQUIRED: authentication/authorization rejection status is undefined; do not assume 401 versus 403.</x:v>
      </x:c>
      <x:c r="K35" s="23" t="str">
        <x:v>Valid user token must not receive the all-system dataset. State remains unchanged.</x:v>
      </x:c>
      <x:c r="L35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5" s="23" t="str">
        <x:v>TO DO HUMAN</x:v>
      </x:c>
      <x:c r="N35" s="23" t="str">
        <x:v>Pending human audit. Confirm matrix traceability and approve every SPECIFICATION GAP oracle before execution.</x:v>
      </x:c>
      <x:c r="O35" s="23"/>
      <x:c r="P35" s="23"/>
      <x:c r="Q35" s="23" t="str">
        <x:v>FR13-API-TC031 | Enforce admin role against a valid normal-user JWT</x:v>
      </x:c>
      <x:c r="R35" s="23"/>
      <x:c r="S35" s="23" t="str">
        <x:v>NOT RUN</x:v>
      </x:c>
      <x:c r="T35" s="23"/>
      <x:c r="U35" s="23" t="str">
        <x:v>Trace: Security—SEC-03 user-versus-admin boundary.</x:v>
      </x:c>
    </x:row>
    <x:row r="36" ht="194.39999389648438" hidden="0" customHeight="1">
      <x:c r="A36" s="23" t="str">
        <x:v>FR13-API-TC032</x:v>
      </x:c>
      <x:c r="B36" s="23" t="str">
        <x:v>FR-13</x:v>
      </x:c>
      <x:c r="C36" s="23" t="str">
        <x:v>GET /api/admin/orders</x:v>
      </x:c>
      <x:c r="D36" s="23" t="str">
        <x:v>AI</x:v>
      </x:c>
      <x:c r="E36" s="23" t="str">
        <x:v>Security</x:v>
      </x:c>
      <x:c r="F36" s="23" t="str">
        <x:v>Reject a valid JWT whose role claim is missing</x:v>
      </x:c>
      <x:c r="G36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token fixture is validly signed but lacks an admin role claim.</x:v>
      </x:c>
      <x:c r="H36" s="23" t="str">
        <x:v>Authorization: Bearer {{tokenWithoutRole}}</x:v>
      </x:c>
      <x:c r="I36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{{tokenWithoutRole}}.
4. Capture HTTP status, response headers, and raw body without assuming an undocumented schema.
5. Follow with an authorized admin GET /api/admin/orders and/or authorized storage inspection to verify dataset integrity and state preservation.
6. Apply oracle: Missing role does not satisfy admin authorization; no protected data disclosure or mutation.</x:v>
      </x:c>
      <x:c r="J36" s="23" t="str">
        <x:v>SPECIFICATION GAP — HUMAN DECISION REQUIRED: authentication/authorization rejection status is undefined; do not assume 401 versus 403.</x:v>
      </x:c>
      <x:c r="K36" s="23" t="str">
        <x:v>Missing role does not satisfy admin authorization; no protected data disclosure or mutation.</x:v>
      </x:c>
      <x:c r="L36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6" s="23" t="str">
        <x:v>TO DO HUMAN</x:v>
      </x:c>
      <x:c r="N36" s="23" t="str">
        <x:v>Pending human audit. Confirm matrix traceability and approve every SPECIFICATION GAP oracle before execution.</x:v>
      </x:c>
      <x:c r="O36" s="23"/>
      <x:c r="P36" s="23"/>
      <x:c r="Q36" s="23" t="str">
        <x:v>FR13-API-TC032 | Reject a valid JWT whose role claim is missing</x:v>
      </x:c>
      <x:c r="R36" s="23"/>
      <x:c r="S36" s="23" t="str">
        <x:v>NOT RUN</x:v>
      </x:c>
      <x:c r="T36" s="23"/>
      <x:c r="U36" s="23" t="str">
        <x:v>Trace: Security—missing role and SEC-03.</x:v>
      </x:c>
    </x:row>
    <x:row r="37" ht="183.60000610351562" hidden="0" customHeight="1">
      <x:c r="A37" s="23" t="str">
        <x:v>FR13-API-TC033</x:v>
      </x:c>
      <x:c r="B37" s="23" t="str">
        <x:v>FR-13</x:v>
      </x:c>
      <x:c r="C37" s="23" t="str">
        <x:v>GET /api/admin/orders</x:v>
      </x:c>
      <x:c r="D37" s="23" t="str">
        <x:v>AI</x:v>
      </x:c>
      <x:c r="E37" s="23" t="str">
        <x:v>Security</x:v>
      </x:c>
      <x:c r="F37" s="23" t="str">
        <x:v>Prevent role escalation through an unsigned role-claim change</x:v>
      </x:c>
      <x:c r="G37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Normal-user token payload is changed to role=admin without a valid new signature.</x:v>
      </x:c>
      <x:c r="H37" s="23" t="str">
        <x:v>Authorization: Bearer {{userTokenWithTamperedAdminRole}}</x:v>
      </x:c>
      <x:c r="I37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{{userTokenWithTamperedAdminRole}}.
4. Capture HTTP status, response headers, and raw body without assuming an undocumented schema.
5. Follow with an authorized admin GET /api/admin/orders and/or authorized storage inspection to verify dataset integrity and state preservation.
6. Apply oracle: Role tampering cannot grant admin access; no disclosure or mutation.</x:v>
      </x:c>
      <x:c r="J37" s="23" t="str">
        <x:v>SPECIFICATION GAP — HUMAN DECISION REQUIRED: authentication/authorization rejection status is undefined; do not assume 401 versus 403.</x:v>
      </x:c>
      <x:c r="K37" s="23" t="str">
        <x:v>Role tampering cannot grant admin access; no disclosure or mutation.</x:v>
      </x:c>
      <x:c r="L37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7" s="23" t="str">
        <x:v>TO DO HUMAN</x:v>
      </x:c>
      <x:c r="N37" s="23" t="str">
        <x:v>Pending human audit. Confirm matrix traceability and approve every SPECIFICATION GAP oracle before execution.</x:v>
      </x:c>
      <x:c r="O37" s="23"/>
      <x:c r="P37" s="23"/>
      <x:c r="Q37" s="23" t="str">
        <x:v>FR13-API-TC033 | Prevent role escalation through an unsigned role-claim change</x:v>
      </x:c>
      <x:c r="R37" s="23"/>
      <x:c r="S37" s="23" t="str">
        <x:v>NOT RUN</x:v>
      </x:c>
      <x:c r="T37" s="23"/>
      <x:c r="U37" s="23" t="str">
        <x:v>Trace: Security—role escalation plus tampered JWT.</x:v>
      </x:c>
    </x:row>
    <x:row r="38" ht="194.39999389648438" hidden="0" customHeight="1">
      <x:c r="A38" s="23" t="str">
        <x:v>FR13-API-TC034</x:v>
      </x:c>
      <x:c r="B38" s="23" t="str">
        <x:v>FR-13</x:v>
      </x:c>
      <x:c r="C38" s="23" t="str">
        <x:v>GET /api/admin/orders</x:v>
      </x:c>
      <x:c r="D38" s="23" t="str">
        <x:v>AI</x:v>
      </x:c>
      <x:c r="E38" s="23" t="str">
        <x:v>Security</x:v>
      </x:c>
      <x:c r="F38" s="23" t="str">
        <x:v>Ensure a wrong HTTP method cannot retrieve or mutate the protected dataset</x:v>
      </x:c>
      <x:c r="G38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baseline dataset and tuple captured.</x:v>
      </x:c>
      <x:c r="H38" s="23" t="str">
        <x:v>Actual probe: POST /api/admin/orders; body omitted</x:v>
      </x:c>
      <x:c r="I38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POST /api/admin/orders with Authorization: Bearer {{adminToken}}.
4. Capture HTTP status, response headers, and raw body without assuming an undocumented schema.
5. Follow with an authorized admin GET /api/admin/orders and/or authorized storage inspection to verify dataset integrity and state preservation.
6. Apply oracle: Wrong method must not mutate orders or provide unintended protected retrieval. Exact method status/body is unspecified.</x:v>
      </x:c>
      <x:c r="J38" s="23" t="str">
        <x:v>SPECIFICATION GAP — HUMAN DECISION REQUIRED: wrong-method status is undefined; do not assume 404 versus 405.</x:v>
      </x:c>
      <x:c r="K38" s="23" t="str">
        <x:v>Wrong method must not mutate orders or provide unintended protected retrieval. Exact method status/body is unspecified.</x:v>
      </x:c>
      <x:c r="L38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38" s="23" t="str">
        <x:v>TO DO HUMAN</x:v>
      </x:c>
      <x:c r="N38" s="23" t="str">
        <x:v>Pending human audit. Confirm matrix traceability and approve every SPECIFICATION GAP oracle before execution.</x:v>
      </x:c>
      <x:c r="O38" s="23"/>
      <x:c r="P38" s="23"/>
      <x:c r="Q38" s="23" t="str">
        <x:v>FR13-API-TC034 | Ensure a wrong HTTP method cannot retrieve or mutate the protected dataset</x:v>
      </x:c>
      <x:c r="R38" s="23"/>
      <x:c r="S38" s="23" t="str">
        <x:v>NOT RUN</x:v>
      </x:c>
      <x:c r="T38" s="23"/>
      <x:c r="U38" s="23" t="str">
        <x:v>Trace: Security—wrong HTTP method and state preservation.</x:v>
      </x:c>
    </x:row>
    <x:row r="39" ht="270" hidden="0" customHeight="1">
      <x:c r="A39" s="23" t="str">
        <x:v>FR13-API-TC035</x:v>
      </x:c>
      <x:c r="B39" s="23" t="str">
        <x:v>FR-13</x:v>
      </x:c>
      <x:c r="C39" s="23" t="str">
        <x:v>GET /api/admin/orders</x:v>
      </x:c>
      <x:c r="D39" s="23" t="str">
        <x:v>AI</x:v>
      </x:c>
      <x:c r="E39" s="23" t="str">
        <x:v>Security</x:v>
      </x:c>
      <x:c r="F39" s="23" t="str">
        <x:v>Probe SQL-injection-like text in an undocumented query without claiming parameterization proof</x:v>
      </x:c>
      <x:c r="G39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baseline dataset and DB integrity verification available.</x:v>
      </x:c>
      <x:c r="H39" s="23" t="str">
        <x:v>GET /api/admin/orders?sort=id%20DESC%3B%20DROP%20TABLE%20orders--</x:v>
      </x:c>
      <x:c r="I39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/api/admin/orders?sort=id%20DESC%3B%20DROP%20TABLE%20orders--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Follow with an authorized admin GET /api/admin/orders and/or authorized storage inspection to verify dataset integrity and state preservation.
7. Apply oracle: No query broadening, unrelated disclosure, DB error detail, schema/data damage, or mutation. Reject/ignore behavior is unspecified; code review is required for SEC-05 proof.</x:v>
      </x:c>
      <x:c r="J39" s="23" t="str">
        <x:v>SPECIFICATION GAP — HUMAN DECISION REQUIRED: handling/status for undocumented query, body, or header input is not defined.</x:v>
      </x:c>
      <x:c r="K39" s="23" t="str">
        <x:v>No query broadening, unrelated disclosure, DB error detail, schema/data damage, or mutation. Reject/ignore behavior is unspecified; code review is required for SEC-05 proof.</x:v>
      </x:c>
      <x:c r="L39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39" s="23" t="str">
        <x:v>TO DO HUMAN</x:v>
      </x:c>
      <x:c r="N39" s="23" t="str">
        <x:v>Pending human audit. Confirm matrix traceability and approve every SPECIFICATION GAP oracle before execution.</x:v>
      </x:c>
      <x:c r="O39" s="23"/>
      <x:c r="P39" s="23"/>
      <x:c r="Q39" s="23" t="str">
        <x:v>FR13-API-TC035 | Probe SQL-injection-like text in an undocumented query without claiming parameterization proof</x:v>
      </x:c>
      <x:c r="R39" s="23"/>
      <x:c r="S39" s="23" t="str">
        <x:v>NOT RUN</x:v>
      </x:c>
      <x:c r="T39" s="23"/>
      <x:c r="U39" s="23" t="str">
        <x:v>Trace: Security—SQL injection not directly testable; Domain—unexpected query.</x:v>
      </x:c>
    </x:row>
    <x:row r="40" ht="205.1999969482422" hidden="0" customHeight="1">
      <x:c r="A40" s="23" t="str">
        <x:v>FR13-API-TC036</x:v>
      </x:c>
      <x:c r="B40" s="23" t="str">
        <x:v>FR-13</x:v>
      </x:c>
      <x:c r="C40" s="23" t="str">
        <x:v>GET /api/admin/orders</x:v>
      </x:c>
      <x:c r="D40" s="23" t="str">
        <x:v>AI</x:v>
      </x:c>
      <x:c r="E40" s="23" t="str">
        <x:v>Security</x:v>
      </x:c>
      <x:c r="F40" s="23" t="str">
        <x:v>Capture API evidence for a stored-XSS fixture without claiming SEC-04 proof</x:v>
      </x:c>
      <x:c r="G40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Authorized setup stores '&lt;img src=x onerror=alert(1)&gt;' in user-controlled order data; downstream UI review is available.</x:v>
      </x:c>
      <x:c r="H40" s="23" t="str">
        <x:v>Fixture payload=&lt;img src=x onerror=alert(1)&gt;; valid admin JWT</x:v>
      </x:c>
      <x:c r="I40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Target response alone cannot prove DOM safety. If the field is returned, capture it for downstream UI verification; derived revenue/count remain based only on status/amount.</x:v>
      </x:c>
      <x:c r="J40" s="23" t="str">
        <x:v>SPECIFICATION GAP — HUMAN DECISION REQUIRED: success HTTP status for GET /api/admin/orders is not documented.</x:v>
      </x:c>
      <x:c r="K40" s="23" t="str">
        <x:v>Target response alone cannot prove DOM safety. If the field is returned, capture it for downstream UI verification; derived revenue/count remain based only on status/amount.</x:v>
      </x:c>
      <x:c r="L40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0" s="23" t="str">
        <x:v>TO DO HUMAN</x:v>
      </x:c>
      <x:c r="N40" s="23" t="str">
        <x:v>Pending human audit. Confirm matrix traceability and approve every SPECIFICATION GAP oracle before execution.</x:v>
      </x:c>
      <x:c r="O40" s="23"/>
      <x:c r="P40" s="23"/>
      <x:c r="Q40" s="23" t="str">
        <x:v>FR13-API-TC036 | Capture API evidence for a stored-XSS fixture without claiming SEC-04 proof</x:v>
      </x:c>
      <x:c r="R40" s="23"/>
      <x:c r="S40" s="23" t="str">
        <x:v>NOT RUN</x:v>
      </x:c>
      <x:c r="T40" s="23"/>
      <x:c r="U40" s="23" t="str">
        <x:v>Trace: Security—stored XSS not directly testable through API; SEC-04 dependency.</x:v>
      </x:c>
    </x:row>
    <x:row r="41" ht="270" hidden="0" customHeight="1">
      <x:c r="A41" s="23" t="str">
        <x:v>FR13-API-TC037</x:v>
      </x:c>
      <x:c r="B41" s="23" t="str">
        <x:v>FR-13</x:v>
      </x:c>
      <x:c r="C41" s="23" t="str">
        <x:v>GET /api/admin/orders</x:v>
      </x:c>
      <x:c r="D41" s="23" t="str">
        <x:v>AI</x:v>
      </x:c>
      <x:c r="E41" s="23" t="str">
        <x:v>Security</x:v>
      </x:c>
      <x:c r="F41" s="23" t="str">
        <x:v>Probe reflected-XSS-like query input without inventing an echo schema</x:v>
      </x:c>
      <x:c r="G41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baseline dataset known.</x:v>
      </x:c>
      <x:c r="H41" s="23" t="str">
        <x:v>GET /api/admin/orders?q=%3Cscript%3Ealert(1)%3C%2Fscript%3E</x:v>
      </x:c>
      <x:c r="I41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/api/admin/orders?q=%3Cscript%3Ealert(1)%3C%2Fscript%3E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Follow with an authorized admin GET /api/admin/orders and/or authorized storage inspection to verify dataset integrity and state preservation.
7. Apply oracle: Reflection/rejection is unspecified. No executable downstream reflection, protected-data broadening, or mutation; API response alone cannot prove browser safety.</x:v>
      </x:c>
      <x:c r="J41" s="23" t="str">
        <x:v>SPECIFICATION GAP — HUMAN DECISION REQUIRED: handling/status for undocumented query, body, or header input is not defined.</x:v>
      </x:c>
      <x:c r="K41" s="23" t="str">
        <x:v>Reflection/rejection is unspecified. No executable downstream reflection, protected-data broadening, or mutation; API response alone cannot prove browser safety.</x:v>
      </x:c>
      <x:c r="L41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1" s="23" t="str">
        <x:v>TO DO HUMAN</x:v>
      </x:c>
      <x:c r="N41" s="23" t="str">
        <x:v>Pending human audit. Confirm matrix traceability and approve every SPECIFICATION GAP oracle before execution.</x:v>
      </x:c>
      <x:c r="O41" s="23"/>
      <x:c r="P41" s="23"/>
      <x:c r="Q41" s="23" t="str">
        <x:v>FR13-API-TC037 | Probe reflected-XSS-like query input without inventing an echo schema</x:v>
      </x:c>
      <x:c r="R41" s="23"/>
      <x:c r="S41" s="23" t="str">
        <x:v>NOT RUN</x:v>
      </x:c>
      <x:c r="T41" s="23"/>
      <x:c r="U41" s="23" t="str">
        <x:v>Trace: Security—reflected XSS not directly testable; query gap.</x:v>
      </x:c>
    </x:row>
    <x:row r="42" ht="216" hidden="0" customHeight="1">
      <x:c r="A42" s="23" t="str">
        <x:v>FR13-API-TC038</x:v>
      </x:c>
      <x:c r="B42" s="23" t="str">
        <x:v>FR-13</x:v>
      </x:c>
      <x:c r="C42" s="23" t="str">
        <x:v>GET /api/admin/orders</x:v>
      </x:c>
      <x:c r="D42" s="23" t="str">
        <x:v>AI</x:v>
      </x:c>
      <x:c r="E42" s="23" t="str">
        <x:v>Security</x:v>
      </x:c>
      <x:c r="F42" s="23" t="str">
        <x:v>Detect unexpected credential, secret, or internal-data exposure in an authorized response</x:v>
      </x:c>
      <x:c r="G42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controlled dataset; sensitive-field review denylist prepared.</x:v>
      </x:c>
      <x:c r="H42" s="23" t="str">
        <x:v>Forbidden-review candidates: password/hash, JWT, signing secret, reset token/OTP, stack/path, SQL/driver detail, internal config</x:v>
      </x:c>
      <x:c r="I42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Response must not expose security-review forbidden candidates. Which order/user PII fields are permitted is SPECIFICATION GAP. Derived business oracle uses only semantic status/amount inputs.</x:v>
      </x:c>
      <x:c r="J42" s="23" t="str">
        <x:v>SPECIFICATION GAP — HUMAN DECISION REQUIRED: success HTTP status for GET /api/admin/orders is not documented.</x:v>
      </x:c>
      <x:c r="K42" s="23" t="str">
        <x:v>Response must not expose security-review forbidden candidates. Which order/user PII fields are permitted is SPECIFICATION GAP. Derived business oracle uses only semantic status/amount inputs.</x:v>
      </x:c>
      <x:c r="L42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2" s="23" t="str">
        <x:v>TO DO HUMAN</x:v>
      </x:c>
      <x:c r="N42" s="23" t="str">
        <x:v>Pending human audit. Confirm matrix traceability and approve every SPECIFICATION GAP oracle before execution.</x:v>
      </x:c>
      <x:c r="O42" s="23"/>
      <x:c r="P42" s="23"/>
      <x:c r="Q42" s="23" t="str">
        <x:v>FR13-API-TC038 | Detect unexpected credential, secret, or internal-data exposure in an authorized response</x:v>
      </x:c>
      <x:c r="R42" s="23"/>
      <x:c r="S42" s="23" t="str">
        <x:v>NOT RUN</x:v>
      </x:c>
      <x:c r="T42" s="23"/>
      <x:c r="U42" s="23" t="str">
        <x:v>Trace: Security—unexpected sensitive-data exposure; Schema—formal denylist gap.</x:v>
      </x:c>
    </x:row>
    <x:row r="43" ht="259.20001220703125" hidden="0" customHeight="1">
      <x:c r="A43" s="23" t="str">
        <x:v>FR13-API-TC039</x:v>
      </x:c>
      <x:c r="B43" s="23" t="str">
        <x:v>FR-13</x:v>
      </x:c>
      <x:c r="C43" s="23" t="str">
        <x:v>GET /api/admin/orders</x:v>
      </x:c>
      <x:c r="D43" s="23" t="str">
        <x:v>AI</x:v>
      </x:c>
      <x:c r="E43" s="23" t="str">
        <x:v>Security</x:v>
      </x:c>
      <x:c r="F43" s="23" t="str">
        <x:v>Characterize mass-assignment-shaped fields in a GET body while preserving state</x:v>
      </x:c>
      <x:c r="G43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baseline order status/ownership/amount and tuple captured.</x:v>
      </x:c>
      <x:c r="H43" s="23" t="str">
        <x:v>Body={"role":"admin","user_id":999,"status":"delivered","total_amount":1}</x:v>
      </x:c>
      <x:c r="I43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 plus the exact recorded body and Content-Type.
4. Capture HTTP status, response headers, and raw body without assuming an undocumented schema.
5. Treat returned orders only as Dashboard input; calculate the derived business oracle independently and do not require revenue/order-count response fields.
6. Follow with an authorized admin GET /api/admin/orders and/or authorized storage inspection to verify dataset integrity and state preservation.
7. Apply oracle: Body handling is unspecified. No ownership, role, status, amount, membership, revenue, or count mutation is allowed from a read request.</x:v>
      </x:c>
      <x:c r="J43" s="23" t="str">
        <x:v>SPECIFICATION GAP — HUMAN DECISION REQUIRED: handling/status for undocumented query, body, or header input is not defined.</x:v>
      </x:c>
      <x:c r="K43" s="23" t="str">
        <x:v>Body handling is unspecified. No ownership, role, status, amount, membership, revenue, or count mutation is allowed from a read request.</x:v>
      </x:c>
      <x:c r="L43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3" s="23" t="str">
        <x:v>TO DO HUMAN</x:v>
      </x:c>
      <x:c r="N43" s="23" t="str">
        <x:v>Pending human audit. Confirm matrix traceability and approve every SPECIFICATION GAP oracle before execution.</x:v>
      </x:c>
      <x:c r="O43" s="23"/>
      <x:c r="P43" s="23"/>
      <x:c r="Q43" s="23" t="str">
        <x:v>FR13-API-TC039 | Characterize mass-assignment-shaped fields in a GET body while preserving state</x:v>
      </x:c>
      <x:c r="R43" s="23"/>
      <x:c r="S43" s="23" t="str">
        <x:v>NOT RUN</x:v>
      </x:c>
      <x:c r="T43" s="23"/>
      <x:c r="U43" s="23" t="str">
        <x:v>Trace: Security—mass assignment not applicable to GET; Domain—unexpected body.</x:v>
      </x:c>
    </x:row>
    <x:row r="44" ht="194.39999389648438" hidden="0" customHeight="1">
      <x:c r="A44" s="23" t="str">
        <x:v>FR13-API-TC040</x:v>
      </x:c>
      <x:c r="B44" s="23" t="str">
        <x:v>FR-13</x:v>
      </x:c>
      <x:c r="C44" s="23" t="str">
        <x:v>GET /api/admin/orders</x:v>
      </x:c>
      <x:c r="D44" s="23" t="str">
        <x:v>AI</x:v>
      </x:c>
      <x:c r="E44" s="23" t="str">
        <x:v>Security</x:v>
      </x:c>
      <x:c r="F44" s="23" t="str">
        <x:v>Prevent a client-supplied admin header from replacing the JWT admin-role claim</x:v>
      </x:c>
      <x:c r="G44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normal-user JWT; fake role header added.</x:v>
      </x:c>
      <x:c r="H44" s="23" t="str">
        <x:v>Authorization: Bearer {{userToken}}; X-Role: admin</x:v>
      </x:c>
      <x:c r="I44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{{userToken}} and X-Role: admin.
4. Capture HTTP status, response headers, and raw body without assuming an undocumented schema.
5. Follow with an authorized admin GET /api/admin/orders and/or authorized storage inspection to verify dataset integrity and state preservation.
6. Apply oracle: Unexpected header cannot grant admin access. No all-system dataset disclosure or mutation; exact rejection response unspecified.</x:v>
      </x:c>
      <x:c r="J44" s="23" t="str">
        <x:v>SPECIFICATION GAP — HUMAN DECISION REQUIRED: authentication/authorization rejection status is undefined; do not assume 401 versus 403.</x:v>
      </x:c>
      <x:c r="K44" s="23" t="str">
        <x:v>Unexpected header cannot grant admin access. No all-system dataset disclosure or mutation; exact rejection response unspecified.</x:v>
      </x:c>
      <x:c r="L44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44" s="23" t="str">
        <x:v>TO DO HUMAN</x:v>
      </x:c>
      <x:c r="N44" s="23" t="str">
        <x:v>Pending human audit. Confirm matrix traceability and approve every SPECIFICATION GAP oracle before execution.</x:v>
      </x:c>
      <x:c r="O44" s="23"/>
      <x:c r="P44" s="23"/>
      <x:c r="Q44" s="23" t="str">
        <x:v>FR13-API-TC040 | Prevent a client-supplied admin header from replacing the JWT admin-role claim</x:v>
      </x:c>
      <x:c r="R44" s="23"/>
      <x:c r="S44" s="23" t="str">
        <x:v>NOT RUN</x:v>
      </x:c>
      <x:c r="T44" s="23"/>
      <x:c r="U44" s="23" t="str">
        <x:v>Trace: Security—missing authorization check/role escalation; extra header.</x:v>
      </x:c>
    </x:row>
    <x:row r="45" ht="205.1999969482422" hidden="0" customHeight="1">
      <x:c r="A45" s="23" t="str">
        <x:v>FR13-API-TC041</x:v>
      </x:c>
      <x:c r="B45" s="23" t="str">
        <x:v>FR-13</x:v>
      </x:c>
      <x:c r="C45" s="23" t="str">
        <x:v>GET /api/admin/orders</x:v>
      </x:c>
      <x:c r="D45" s="23" t="str">
        <x:v>AI</x:v>
      </x:c>
      <x:c r="E45" s="23" t="str">
        <x:v>Schema</x:v>
      </x:c>
      <x:c r="F45" s="23" t="str">
        <x:v>Characterize the undocumented success HTTP status without fixing it to 200</x:v>
      </x:c>
      <x:c r="G45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controlled one-order complete dataset.</x:v>
      </x:c>
      <x:c r="H45" s="23" t="str">
        <x:v>D=[pending:10000]</x:v>
      </x:c>
      <x:c r="I45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Semantic retrieval and derived business oracle revenue=0, order count=1 are assessed independently; the observed success status is recorded for human contract resolution.</x:v>
      </x:c>
      <x:c r="J45" s="23" t="str">
        <x:v>SPECIFICATION GAP — HUMAN DECISION REQUIRED: success HTTP status for GET /api/admin/orders is not documented.</x:v>
      </x:c>
      <x:c r="K45" s="23" t="str">
        <x:v>Semantic retrieval and derived business oracle revenue=0, order count=1 are assessed independently; the observed success status is recorded for human contract resolution.</x:v>
      </x:c>
      <x:c r="L45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5" s="23" t="str">
        <x:v>TO DO HUMAN</x:v>
      </x:c>
      <x:c r="N45" s="23" t="str">
        <x:v>Pending human audit. Confirm matrix traceability and approve every SPECIFICATION GAP oracle before execution.</x:v>
      </x:c>
      <x:c r="O45" s="23"/>
      <x:c r="P45" s="23"/>
      <x:c r="Q45" s="23" t="str">
        <x:v>FR13-API-TC041 | Characterize the undocumented success HTTP status without fixing it to 200</x:v>
      </x:c>
      <x:c r="R45" s="23"/>
      <x:c r="S45" s="23" t="str">
        <x:v>NOT RUN</x:v>
      </x:c>
      <x:c r="T45" s="23"/>
      <x:c r="U45" s="23" t="str">
        <x:v>Trace: Schema—success status gap.</x:v>
      </x:c>
    </x:row>
    <x:row r="46" ht="205.1999969482422" hidden="0" customHeight="1">
      <x:c r="A46" s="23" t="str">
        <x:v>FR13-API-TC042</x:v>
      </x:c>
      <x:c r="B46" s="23" t="str">
        <x:v>FR-13</x:v>
      </x:c>
      <x:c r="C46" s="23" t="str">
        <x:v>GET /api/admin/orders</x:v>
      </x:c>
      <x:c r="D46" s="23" t="str">
        <x:v>AI</x:v>
      </x:c>
      <x:c r="E46" s="23" t="str">
        <x:v>Schema</x:v>
      </x:c>
      <x:c r="F46" s="23" t="str">
        <x:v>Characterize success Content-Type and charset without requiring JSON</x:v>
      </x:c>
      <x:c r="G46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controlled dataset.</x:v>
      </x:c>
      <x:c r="H46" s="23" t="str">
        <x:v>Capture Content-Type and raw bytes; D=[delivered:50000]</x:v>
      </x:c>
      <x:c r="I46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oracle: revenue=50000, order count=1. Observed media type/charset is recorded; no exact Content-Type is required by specification.</x:v>
      </x:c>
      <x:c r="J46" s="23" t="str">
        <x:v>SPECIFICATION GAP — HUMAN DECISION REQUIRED: success HTTP status for GET /api/admin/orders is not documented.</x:v>
      </x:c>
      <x:c r="K46" s="23" t="str">
        <x:v>Derived business oracle: revenue=50000, order count=1. Observed media type/charset is recorded; no exact Content-Type is required by specification.</x:v>
      </x:c>
      <x:c r="L46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6" s="23" t="str">
        <x:v>TO DO HUMAN</x:v>
      </x:c>
      <x:c r="N46" s="23" t="str">
        <x:v>Pending human audit. Confirm matrix traceability and approve every SPECIFICATION GAP oracle before execution.</x:v>
      </x:c>
      <x:c r="O46" s="23"/>
      <x:c r="P46" s="23"/>
      <x:c r="Q46" s="23" t="str">
        <x:v>FR13-API-TC042 | Characterize success Content-Type and charset without requiring JSON</x:v>
      </x:c>
      <x:c r="R46" s="23"/>
      <x:c r="S46" s="23" t="str">
        <x:v>NOT RUN</x:v>
      </x:c>
      <x:c r="T46" s="23"/>
      <x:c r="U46" s="23" t="str">
        <x:v>Trace: Schema—success Content-Type/charset gap.</x:v>
      </x:c>
    </x:row>
    <x:row r="47" ht="216" hidden="0" customHeight="1">
      <x:c r="A47" s="23" t="str">
        <x:v>FR13-API-TC043</x:v>
      </x:c>
      <x:c r="B47" s="23" t="str">
        <x:v>FR-13</x:v>
      </x:c>
      <x:c r="C47" s="23" t="str">
        <x:v>GET /api/admin/orders</x:v>
      </x:c>
      <x:c r="D47" s="23" t="str">
        <x:v>AI</x:v>
      </x:c>
      <x:c r="E47" s="23" t="str">
        <x:v>Schema</x:v>
      </x:c>
      <x:c r="F47" s="23" t="str">
        <x:v>Characterize the success top-level collection representation</x:v>
      </x:c>
      <x:c r="G47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complete dataset contains two controlled orders.</x:v>
      </x:c>
      <x:c r="H47" s="23" t="str">
        <x:v>D=[delivered:30000,pending:20000]</x:v>
      </x:c>
      <x:c r="I47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Response must semantically provide complete input data for derived revenue=30000 and count=2, but array versus wrapper/object/scalar representation is not predetermined.</x:v>
      </x:c>
      <x:c r="J47" s="23" t="str">
        <x:v>SPECIFICATION GAP — HUMAN DECISION REQUIRED: success HTTP status for GET /api/admin/orders is not documented.</x:v>
      </x:c>
      <x:c r="K47" s="23" t="str">
        <x:v>Response must semantically provide complete input data for derived revenue=30000 and count=2, but array versus wrapper/object/scalar representation is not predetermined.</x:v>
      </x:c>
      <x:c r="L47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7" s="23" t="str">
        <x:v>TO DO HUMAN</x:v>
      </x:c>
      <x:c r="N47" s="23" t="str">
        <x:v>Pending human audit. Confirm matrix traceability and approve every SPECIFICATION GAP oracle before execution.</x:v>
      </x:c>
      <x:c r="O47" s="23"/>
      <x:c r="P47" s="23"/>
      <x:c r="Q47" s="23" t="str">
        <x:v>FR13-API-TC043 | Characterize the success top-level collection representation</x:v>
      </x:c>
      <x:c r="R47" s="23"/>
      <x:c r="S47" s="23" t="str">
        <x:v>NOT RUN</x:v>
      </x:c>
      <x:c r="T47" s="23"/>
      <x:c r="U47" s="23" t="str">
        <x:v>Trace: Schema—top-level representation and collection semantics.</x:v>
      </x:c>
    </x:row>
    <x:row r="48" ht="205.1999969482422" hidden="0" customHeight="1">
      <x:c r="A48" s="23" t="str">
        <x:v>FR13-API-TC044</x:v>
      </x:c>
      <x:c r="B48" s="23" t="str">
        <x:v>FR-13</x:v>
      </x:c>
      <x:c r="C48" s="23" t="str">
        <x:v>GET /api/admin/orders</x:v>
      </x:c>
      <x:c r="D48" s="23" t="str">
        <x:v>AI</x:v>
      </x:c>
      <x:c r="E48" s="23" t="str">
        <x:v>Schema</x:v>
      </x:c>
      <x:c r="F48" s="23" t="str">
        <x:v>Characterize the empty-dataset response representation</x:v>
      </x:c>
      <x:c r="G48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known S0 empty storage.</x:v>
      </x:c>
      <x:c r="H48" s="23" t="str">
        <x:v>D=[]</x:v>
      </x:c>
      <x:c r="I48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No orders are semantically present; derived business oracle revenue=0, order count=0. [], wrapper, null, or empty-body choice is not predetermined.</x:v>
      </x:c>
      <x:c r="J48" s="23" t="str">
        <x:v>SPECIFICATION GAP — HUMAN DECISION REQUIRED: success HTTP status for GET /api/admin/orders is not documented.</x:v>
      </x:c>
      <x:c r="K48" s="23" t="str">
        <x:v>No orders are semantically present; derived business oracle revenue=0, order count=0. [], wrapper, null, or empty-body choice is not predetermined.</x:v>
      </x:c>
      <x:c r="L48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8" s="23" t="str">
        <x:v>TO DO HUMAN</x:v>
      </x:c>
      <x:c r="N48" s="23" t="str">
        <x:v>Pending human audit. Confirm matrix traceability and approve every SPECIFICATION GAP oracle before execution.</x:v>
      </x:c>
      <x:c r="O48" s="23"/>
      <x:c r="P48" s="23"/>
      <x:c r="Q48" s="23" t="str">
        <x:v>FR13-API-TC044 | Characterize the empty-dataset response representation</x:v>
      </x:c>
      <x:c r="R48" s="23"/>
      <x:c r="S48" s="23" t="str">
        <x:v>NOT RUN</x:v>
      </x:c>
      <x:c r="T48" s="23"/>
      <x:c r="U48" s="23" t="str">
        <x:v>Trace: Schema—empty representation gap; State—S0.</x:v>
      </x:c>
    </x:row>
    <x:row r="49" ht="216" hidden="0" customHeight="1">
      <x:c r="A49" s="23" t="str">
        <x:v>FR13-API-TC045</x:v>
      </x:c>
      <x:c r="B49" s="23" t="str">
        <x:v>FR-13</x:v>
      </x:c>
      <x:c r="C49" s="23" t="str">
        <x:v>GET /api/admin/orders</x:v>
      </x:c>
      <x:c r="D49" s="23" t="str">
        <x:v>AI</x:v>
      </x:c>
      <x:c r="E49" s="23" t="str">
        <x:v>Schema</x:v>
      </x:c>
      <x:c r="F49" s="23" t="str">
        <x:v>Characterize item properties and types without promoting source fields into schema</x:v>
      </x:c>
      <x:c r="G49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one controlled delivered order.</x:v>
      </x:c>
      <x:c r="H49" s="23" t="str">
        <x:v>Semantic input: status=delivered,total_amount=75000</x:v>
      </x:c>
      <x:c r="I49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 revenue=75000, count=1. Record observed item fields/types, but only status/amount are semantic dependencies and neither is formally required/typed by the GET schema.</x:v>
      </x:c>
      <x:c r="J49" s="23" t="str">
        <x:v>SPECIFICATION GAP — HUMAN DECISION REQUIRED: success HTTP status for GET /api/admin/orders is not documented.</x:v>
      </x:c>
      <x:c r="K49" s="23" t="str">
        <x:v>Derived business oracle revenue=75000, count=1. Record observed item fields/types, but only status/amount are semantic dependencies and neither is formally required/typed by the GET schema.</x:v>
      </x:c>
      <x:c r="L49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49" s="23" t="str">
        <x:v>TO DO HUMAN</x:v>
      </x:c>
      <x:c r="N49" s="23" t="str">
        <x:v>Pending human audit. Confirm matrix traceability and approve every SPECIFICATION GAP oracle before execution.</x:v>
      </x:c>
      <x:c r="O49" s="23"/>
      <x:c r="P49" s="23"/>
      <x:c r="Q49" s="23" t="str">
        <x:v>FR13-API-TC045 | Characterize item properties and types without promoting source fields into schema</x:v>
      </x:c>
      <x:c r="R49" s="23"/>
      <x:c r="S49" s="23" t="str">
        <x:v>NOT RUN</x:v>
      </x:c>
      <x:c r="T49" s="23"/>
      <x:c r="U49" s="23" t="str">
        <x:v>Trace: Schema—item required/optional properties, types, nullability.</x:v>
      </x:c>
    </x:row>
    <x:row r="50" ht="205.1999969482422" hidden="0" customHeight="1">
      <x:c r="A50" s="23" t="str">
        <x:v>FR13-API-TC046</x:v>
      </x:c>
      <x:c r="B50" s="23" t="str">
        <x:v>FR-13</x:v>
      </x:c>
      <x:c r="C50" s="23" t="str">
        <x:v>GET /api/admin/orders</x:v>
      </x:c>
      <x:c r="D50" s="23" t="str">
        <x:v>AI</x:v>
      </x:c>
      <x:c r="E50" s="23" t="str">
        <x:v>Schema</x:v>
      </x:c>
      <x:c r="F50" s="23" t="str">
        <x:v>Characterize item ordering, duplicates, completeness, and additional properties</x:v>
      </x:c>
      <x:c r="G50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three uniquely controlled logical orders; setup inventory recorded.</x:v>
      </x:c>
      <x:c r="H50" s="23" t="str">
        <x:v>D has fixture refs O1,O2,O3 with mixed statuses</x:v>
      </x:c>
      <x:c r="I50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{{adminToken}}.
4. Capture HTTP status, response headers, and raw body without assuming an undocumented schema.
5. Treat returned orders only as Dashboard input; calculate the derived business oracle independently and do not require revenue/order-count response fields.
6. Apply oracle: Derived business oracle uses every logical order exactly once. Ordering, identity field, duplicates, wrapper metadata, pagination, and additionalProperties remain unspecified.</x:v>
      </x:c>
      <x:c r="J50" s="23" t="str">
        <x:v>SPECIFICATION GAP — HUMAN DECISION REQUIRED: success HTTP status for GET /api/admin/orders is not documented.</x:v>
      </x:c>
      <x:c r="K50" s="23" t="str">
        <x:v>Derived business oracle uses every logical order exactly once. Ordering, identity field, duplicates, wrapper metadata, pagination, and additionalProperties remain unspecified.</x:v>
      </x:c>
      <x:c r="L50" s="23" t="str">
        <x:v>SPECIFICATION GAP — HUMAN DECISION REQUIRED: success Content-Type, top-level representation, collection/item schema, required/optional fields, property types, nullability, ordering, pagination, and additionalProperties are undefined. status and total_amount are semantic calculation dependencies only; revenue/order count are not required response fields.</x:v>
      </x:c>
      <x:c r="M50" s="23" t="str">
        <x:v>TO DO HUMAN</x:v>
      </x:c>
      <x:c r="N50" s="23" t="str">
        <x:v>Pending human audit. Confirm matrix traceability and approve every SPECIFICATION GAP oracle before execution.</x:v>
      </x:c>
      <x:c r="O50" s="23"/>
      <x:c r="P50" s="23"/>
      <x:c r="Q50" s="23" t="str">
        <x:v>FR13-API-TC046 | Characterize item ordering, duplicates, completeness, and additional properties</x:v>
      </x:c>
      <x:c r="R50" s="23"/>
      <x:c r="S50" s="23" t="str">
        <x:v>NOT RUN</x:v>
      </x:c>
      <x:c r="T50" s="23"/>
      <x:c r="U50" s="23" t="str">
        <x:v>Trace: Schema—array/item multiplicity, ordering, completeness, extras.</x:v>
      </x:c>
    </x:row>
    <x:row r="51" ht="194.39999389648438" hidden="0" customHeight="1">
      <x:c r="A51" s="23" t="str">
        <x:v>FR13-API-TC047</x:v>
      </x:c>
      <x:c r="B51" s="23" t="str">
        <x:v>FR-13</x:v>
      </x:c>
      <x:c r="C51" s="23" t="str">
        <x:v>GET /api/admin/orders</x:v>
      </x:c>
      <x:c r="D51" s="23" t="str">
        <x:v>AI</x:v>
      </x:c>
      <x:c r="E51" s="23" t="str">
        <x:v>Schema</x:v>
      </x:c>
      <x:c r="F51" s="23" t="str">
        <x:v>Characterize authentication-error status, Content-Type, and body shape</x:v>
      </x:c>
      <x:c r="G51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Protected dataset exists; invalid JWT prepared.</x:v>
      </x:c>
      <x:c r="H51" s="23" t="str">
        <x:v>Authorization: Bearer invalid.jwt.value</x:v>
      </x:c>
      <x:c r="I51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GET /api/admin/orders with Authorization: Bearer invalid.jwt.value.
4. Capture HTTP status, response headers, and raw body without assuming an undocumented schema.
5. Follow with an authorized admin GET /api/admin/orders and/or authorized storage inspection to verify dataset integrity and state preservation.
6. Apply oracle: No protected data disclosure. Record status, headers, and raw body; no error/message/code field or media type is required.</x:v>
      </x:c>
      <x:c r="J51" s="23" t="str">
        <x:v>SPECIFICATION GAP — HUMAN DECISION REQUIRED: authentication/authorization rejection status is undefined; do not assume 401 versus 403.</x:v>
      </x:c>
      <x:c r="K51" s="23" t="str">
        <x:v>No protected data disclosure. Record status, headers, and raw body; no error/message/code field or media type is required.</x:v>
      </x:c>
      <x:c r="L51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51" s="23" t="str">
        <x:v>TO DO HUMAN</x:v>
      </x:c>
      <x:c r="N51" s="23" t="str">
        <x:v>Pending human audit. Confirm matrix traceability and approve every SPECIFICATION GAP oracle before execution.</x:v>
      </x:c>
      <x:c r="O51" s="23"/>
      <x:c r="P51" s="23"/>
      <x:c r="Q51" s="23" t="str">
        <x:v>FR13-API-TC047 | Characterize authentication-error status, Content-Type, and body shape</x:v>
      </x:c>
      <x:c r="R51" s="23"/>
      <x:c r="S51" s="23" t="str">
        <x:v>NOT RUN</x:v>
      </x:c>
      <x:c r="T51" s="23"/>
      <x:c r="U51" s="23" t="str">
        <x:v>Trace: Schema—authentication error shape; Security—invalid JWT.</x:v>
      </x:c>
    </x:row>
    <x:row r="52" ht="205.1999969482422" hidden="0" customHeight="1">
      <x:c r="A52" s="23" t="str">
        <x:v>FR13-API-TC048</x:v>
      </x:c>
      <x:c r="B52" s="23" t="str">
        <x:v>FR-13</x:v>
      </x:c>
      <x:c r="C52" s="23" t="str">
        <x:v>GET /api/admin/orders</x:v>
      </x:c>
      <x:c r="D52" s="23" t="str">
        <x:v>AI</x:v>
      </x:c>
      <x:c r="E52" s="23" t="str">
        <x:v>Schema</x:v>
      </x:c>
      <x:c r="F52" s="23" t="str">
        <x:v>Characterize wrong-method error shape and sensitive-data redaction</x:v>
      </x:c>
      <x:c r="G52" s="23" t="str">
        <x:v>Backend and isolated order storage are available. Admin/user login, POST /api/checkout, PUT /api/admin/orders/:id/status, UI checks, and authorized fixtures are setup/verification operations—not selected FR-13 cases. No API was run while authoring. Valid admin JWT; baseline dataset captured; actual method DELETE.</x:v>
      </x:c>
      <x:c r="H52" s="23" t="str">
        <x:v>Actual probe: DELETE /api/admin/orders; body omitted</x:v>
      </x:c>
      <x:c r="I52" s="23" t="str">
        <x:v>1. Establish the stated controlled dataset and credentials using setup APIs/fixtures only; setup operations are not selected FR-13 cases.
2. Record fixture inventory and independently calculate the expected Dashboard tuple from the accepted rule: revenue sums delivered amounts only; order count includes all logical orders.
3. Send DELETE /api/admin/orders with Authorization: Bearer {{adminToken}}.
4. Capture HTTP status, response headers, and raw body without assuming an undocumented schema.
5. Follow with an authorized admin GET /api/admin/orders and/or authorized storage inspection to verify dataset integrity and state preservation.
6. Apply oracle: No mutation or protected retrieval. Record status/Allow/Content-Type/body without assuming shape; no secret, stack, path, SQL/driver detail, or unrelated record exposure.</x:v>
      </x:c>
      <x:c r="J52" s="23" t="str">
        <x:v>SPECIFICATION GAP — HUMAN DECISION REQUIRED: wrong-method status is undefined; do not assume 404 versus 405.</x:v>
      </x:c>
      <x:c r="K52" s="23" t="str">
        <x:v>No mutation or protected retrieval. Record status/Allow/Content-Type/body without assuming shape; no secret, stack, path, SQL/driver detail, or unrelated record exposure.</x:v>
      </x:c>
      <x:c r="L52" s="23" t="str">
        <x:v>SPECIFICATION GAP — HUMAN DECISION REQUIRED: error status, Content-Type, top-level shape, required/optional properties, types, nullability, headers, and additionalProperties are undefined. No sensitive credential, token, secret, stack, path, SQL/driver detail, or unrelated record may be exposed.</x:v>
      </x:c>
      <x:c r="M52" s="23" t="str">
        <x:v>TO DO HUMAN</x:v>
      </x:c>
      <x:c r="N52" s="23" t="str">
        <x:v>Pending human audit. Confirm matrix traceability and approve every SPECIFICATION GAP oracle before execution.</x:v>
      </x:c>
      <x:c r="O52" s="23"/>
      <x:c r="P52" s="23"/>
      <x:c r="Q52" s="23" t="str">
        <x:v>FR13-API-TC048 | Characterize wrong-method error shape and sensitive-data redaction</x:v>
      </x:c>
      <x:c r="R52" s="23"/>
      <x:c r="S52" s="23" t="str">
        <x:v>NOT RUN</x:v>
      </x:c>
      <x:c r="T52" s="23"/>
      <x:c r="U52" s="23" t="str">
        <x:v>Trace: Schema—wrong-method error status/headers/shape; Security—sensitive exposure.</x:v>
      </x:c>
    </x:row>
    <x:row r="53" ht="30" customHeight="1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</x:row>
    <x:row r="54" ht="30" customHeight="1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</x:row>
    <x:row r="55" ht="30" customHeight="1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</x:row>
    <x:row r="56" ht="30" customHeight="1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</x:row>
    <x:row r="57" ht="30" customHeight="1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</x:row>
    <x:row r="58" ht="30" customHeight="1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</x:row>
    <x:row r="59" ht="30" customHeight="1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</x:row>
    <x:row r="60" ht="30" customHeight="1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</x:row>
    <x:row r="61" ht="30" customHeight="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</x:row>
    <x:row r="62" ht="30" customHeight="1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</x:row>
    <x:row r="63" ht="30" customHeight="1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</x:row>
    <x:row r="64" ht="30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</x:row>
    <x:row r="65" ht="30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</x:row>
    <x:row r="66" ht="30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</x:row>
    <x:row r="67" ht="30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</x:row>
    <x:row r="68" ht="30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</x:row>
    <x:row r="69" ht="30" customHeight="1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</x:row>
    <x:row r="70" ht="30" customHeight="1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</x:row>
    <x:row r="71" ht="30" customHeight="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</x:row>
    <x:row r="72" ht="30" customHeight="1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</x:row>
    <x:row r="73" ht="30" customHeight="1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</x:row>
    <x:row r="74" ht="30" customHeight="1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</x:row>
    <x:row r="75" ht="30" customHeight="1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</x:row>
    <x:row r="76" ht="30" customHeight="1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</x:row>
    <x:row r="77" ht="30" customHeight="1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</x:row>
    <x:row r="78" ht="30" customHeight="1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</x:row>
    <x:row r="79" ht="30" customHeight="1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</x:row>
    <x:row r="80" ht="30" customHeight="1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</x:row>
    <x:row r="81" ht="30" customHeight="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</x:row>
    <x:row r="82" ht="30" customHeight="1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</x:row>
    <x:row r="83" ht="30" customHeight="1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</x:row>
    <x:row r="84" ht="30" customHeight="1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</x:row>
    <x:row r="85" ht="30" customHeight="1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</x:row>
    <x:row r="86" ht="30" customHeight="1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</x:row>
    <x:row r="87" ht="30" customHeight="1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</x:row>
    <x:row r="88" ht="30" customHeight="1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</x:row>
    <x:row r="89" ht="30" customHeight="1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</x:row>
    <x:row r="90" ht="30" customHeight="1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</x:row>
    <x:row r="91" ht="30" customHeight="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</x:row>
    <x:row r="92" ht="30" customHeight="1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</x:row>
    <x:row r="93" ht="30" customHeight="1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</x:row>
    <x:row r="94" ht="30" customHeight="1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</x:row>
    <x:row r="95" ht="30" customHeight="1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</x:row>
    <x:row r="96" ht="30" customHeight="1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</x:row>
    <x:row r="97" ht="30" customHeight="1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</x:row>
    <x:row r="98" ht="30" customHeight="1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</x:row>
    <x:row r="99" ht="30" customHeight="1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</x:row>
    <x:row r="100" ht="30" customHeight="1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</x:row>
    <x:row r="101" ht="30" customHeight="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</x:row>
    <x:row r="102" ht="30" customHeight="1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</x:row>
    <x:row r="103" ht="30" customHeight="1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</x:row>
    <x:row r="104" ht="30" customHeight="1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</x:row>
    <x:row r="105" ht="30" customHeight="1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</x:row>
    <x:row r="106" ht="30" customHeight="1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</x:row>
    <x:row r="107" ht="30" customHeight="1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</x:row>
    <x:row r="108" ht="30" customHeight="1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</x:row>
    <x:row r="109" ht="30" customHeight="1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</x:row>
    <x:row r="110" ht="30" customHeight="1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</x:row>
    <x:row r="111" ht="30" customHeight="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</x:row>
    <x:row r="112" ht="30" customHeight="1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</x:row>
    <x:row r="113" ht="30" customHeight="1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</x:row>
    <x:row r="114" ht="30" customHeight="1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</x:row>
    <x:row r="115" ht="30" customHeight="1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</x:row>
    <x:row r="116" ht="30" customHeight="1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</x:row>
    <x:row r="117" ht="30" customHeight="1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</x:row>
    <x:row r="118" ht="30" customHeight="1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</x:row>
    <x:row r="119" ht="30" customHeight="1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</x:row>
    <x:row r="120" ht="30" customHeight="1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</x:row>
    <x:row r="121" ht="30" customHeight="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</x:row>
    <x:row r="122" ht="30" customHeight="1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</x:row>
    <x:row r="123" ht="30" customHeight="1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</x:row>
    <x:row r="124" ht="30" customHeight="1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</x:row>
    <x:row r="125" ht="30" customHeight="1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</x:row>
    <x:row r="126" ht="30" customHeight="1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</x:row>
    <x:row r="127" ht="30" customHeight="1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</x:row>
    <x:row r="128" ht="30" customHeight="1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</x:row>
    <x:row r="129" ht="30" customHeight="1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</x:row>
    <x:row r="130" ht="30" customHeight="1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</x:row>
    <x:row r="131" ht="30" customHeight="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</x:row>
    <x:row r="132" ht="30" customHeight="1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</x:row>
    <x:row r="133" ht="30" customHeight="1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</x:row>
    <x:row r="134" ht="30" customHeight="1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</x:row>
    <x:row r="135" ht="30" customHeight="1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</x:row>
    <x:row r="136" ht="30" customHeight="1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</x:row>
    <x:row r="137" ht="30" customHeight="1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</x:row>
    <x:row r="138" ht="30" customHeight="1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</x:row>
    <x:row r="139" ht="30" customHeight="1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</x:row>
    <x:row r="140" ht="30" customHeight="1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</x:row>
    <x:row r="141" ht="30" customHeight="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</x:row>
    <x:row r="142" ht="30" customHeight="1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</x:row>
    <x:row r="143" ht="30" customHeight="1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</x:row>
    <x:row r="144" ht="30" customHeight="1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</x:row>
    <x:row r="145" ht="30" customHeight="1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</x:row>
    <x:row r="146" ht="30" customHeight="1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</x:row>
    <x:row r="147" ht="30" customHeight="1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</x:row>
    <x:row r="148" ht="30" customHeight="1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</x:row>
    <x:row r="149" ht="30" customHeight="1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</x:row>
    <x:row r="150" ht="30" customHeight="1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</x:row>
    <x:row r="151" ht="30" customHeight="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</x:row>
    <x:row r="152" ht="30" customHeight="1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</x:row>
    <x:row r="153" ht="30" customHeight="1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</x:row>
    <x:row r="154" ht="30" customHeight="1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</x:row>
    <x:row r="155" ht="30" customHeight="1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</x:row>
    <x:row r="156" ht="30" customHeight="1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</x:row>
    <x:row r="157" ht="30" customHeight="1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</x:row>
    <x:row r="158" ht="30" customHeight="1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</x:row>
    <x:row r="159" ht="30" customHeight="1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</x:row>
    <x:row r="160" ht="30" customHeight="1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</x:row>
    <x:row r="161" ht="30" customHeight="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</x:row>
    <x:row r="162" ht="30" customHeight="1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</x:row>
    <x:row r="163" ht="30" customHeight="1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</x:row>
    <x:row r="164" ht="30" customHeight="1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</x:row>
    <x:row r="165" ht="30" customHeight="1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</x:row>
    <x:row r="166" ht="30" customHeight="1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</x:row>
    <x:row r="167" ht="30" customHeight="1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</x:row>
    <x:row r="168" ht="30" customHeight="1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</x:row>
    <x:row r="169" ht="30" customHeight="1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</x:row>
    <x:row r="170" ht="30" customHeight="1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</x:row>
    <x:row r="171" ht="30" customHeight="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</x:row>
    <x:row r="172" ht="30" customHeight="1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</x:row>
    <x:row r="173" ht="30" customHeight="1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</x:row>
    <x:row r="174" ht="30" customHeight="1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</x:row>
    <x:row r="175" ht="30" customHeight="1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</x:row>
    <x:row r="176" ht="30" customHeight="1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</x:row>
    <x:row r="177" ht="30" customHeight="1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</x:row>
    <x:row r="178" ht="30" customHeight="1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</x:row>
    <x:row r="179" ht="30" customHeight="1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</x:row>
    <x:row r="180" ht="30" customHeight="1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</x:row>
    <x:row r="181" ht="30" customHeight="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</x:row>
    <x:row r="182" ht="30" customHeight="1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</x:row>
    <x:row r="183" ht="30" customHeight="1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</x:row>
    <x:row r="184" ht="30" customHeight="1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</x:row>
    <x:row r="185" ht="30" customHeight="1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</x:row>
    <x:row r="186" ht="30" customHeight="1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</x:row>
    <x:row r="187" ht="30" customHeight="1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</x:row>
    <x:row r="188" ht="30" customHeight="1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</x:row>
    <x:row r="189" ht="30" customHeight="1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</x:row>
    <x:row r="190" ht="30" customHeight="1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</x:row>
    <x:row r="191" ht="30" customHeight="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</x:row>
    <x:row r="192" ht="30" customHeight="1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</x:row>
    <x:row r="193" ht="30" customHeight="1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</x:row>
    <x:row r="194" ht="30" customHeight="1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</x:row>
    <x:row r="195" ht="30" customHeight="1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</x:row>
    <x:row r="196" ht="30" customHeight="1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</x:row>
    <x:row r="197" ht="30" customHeight="1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</x:row>
    <x:row r="198" ht="30" customHeight="1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</x:row>
    <x:row r="199" ht="30" customHeight="1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</x:row>
    <x:row r="200" ht="30" customHeight="1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</x:row>
    <x:row r="201" ht="30" customHeight="1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</x:row>
    <x:row r="202" ht="30" customHeight="1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</x:row>
    <x:row r="203" ht="30" customHeight="1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</x:row>
    <x:row r="204" ht="30" customHeight="1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</x:row>
  </x:sheetData>
  <x:mergeCells>
    <x:mergeCell ref="A1:U1"/>
    <x:mergeCell ref="A2:U2"/>
  </x:mergeCells>
  <x:conditionalFormatting sqref="M5:M204">
    <x:cfRule type="containsText" dxfId="16" priority="1" operator="containsText" text="VALID"/>
    <x:cfRule type="containsText" dxfId="17" priority="2" operator="containsText" text="INVALID"/>
    <x:cfRule type="containsText" dxfId="18" priority="3" operator="containsText" text="INCOMPLETE"/>
    <x:cfRule type="containsText" dxfId="19" priority="4" operator="containsText" text="TO DO HUMAN"/>
  </x:conditionalFormatting>
  <x:conditionalFormatting sqref="S5:S204">
    <x:cfRule type="containsText" dxfId="20" priority="5" operator="containsText" text="NOT RUN"/>
    <x:cfRule type="containsText" dxfId="21" priority="6" operator="containsText" text="PASS"/>
    <x:cfRule type="containsText" dxfId="22" priority="7" operator="containsText" text="FAIL"/>
    <x:cfRule type="containsText" dxfId="23" priority="8" operator="containsText" text="BLOCKED"/>
  </x:conditionalFormatting>
  <x:dataValidations count="4">
    <x:dataValidation type="list" sqref="D5:D204">
      <x:formula1>"AI,HUMAN"</x:formula1>
    </x:dataValidation>
    <x:dataValidation type="list" sqref="E5:E204">
      <x:formula1>"Domain,State,Security,Schema"</x:formula1>
    </x:dataValidation>
    <x:dataValidation type="list" sqref="M5:M204">
      <x:formula1>"VALID,INVALID,INCOMPLETE,TO DO HUMAN"</x:formula1>
    </x:dataValidation>
    <x:dataValidation type="list" sqref="S5:S204">
      <x:formula1>"NOT RUN,PASS,FAIL,BLOCKED"</x:formula1>
    </x:dataValidation>
  </x:dataValidations>
  <x:pageMargins left="0.7" right="0.7" top="0.75" bottom="0.75" header="0.3" footer="0.3"/>
</x:worksheet>
</file>