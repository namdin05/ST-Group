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4a46be432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6883e675e4844a3"/>
    <x:sheet xmlns:r="http://schemas.openxmlformats.org/officeDocument/2006/relationships" name="FR01_Registration" sheetId="2" r:id="R7315d574f6514156"/>
    <x:sheet xmlns:r="http://schemas.openxmlformats.org/officeDocument/2006/relationships" name="FR07_ShoppingCart" sheetId="3" r:id="R27603aa9be854389"/>
    <x:sheet xmlns:r="http://schemas.openxmlformats.org/officeDocument/2006/relationships" name="FR13_Dashboard" sheetId="4" r:id="R73a2bc88df244a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0"/>
      <x:color rgb="FF17365D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9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8">
    <x:border/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  <x:bottom style="thin">
        <x:color rgb="FFC9D2DC"/>
      </x:bottom>
    </x:border>
    <x:border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bottom style="double">
        <x:color rgb="FF17365D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5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vertical="center"/>
    </x:xf>
    <x:xf numFmtId="200" fontId="6" fillId="5" borderId="6" xfId="0" applyNumberFormat="1" applyFont="1" applyFill="1" applyBorder="1" applyAlignment="1">
      <x:alignment vertical="center"/>
    </x:xf>
    <x:xf numFmtId="200" fontId="7" fillId="6" borderId="7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horizontal="center" vertical="center"/>
    </x:xf>
    <x:xf numFmtId="200" fontId="6" fillId="5" borderId="6" xfId="0" applyNumberFormat="1" applyFont="1" applyFill="1" applyBorder="1" applyAlignment="1">
      <x:alignment horizontal="center" vertical="center"/>
    </x:xf>
    <x:xf numFmtId="200" fontId="7" fillId="6" borderId="7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4" fillId="7" borderId="3" xfId="0" applyNumberFormat="1" applyFont="1" applyFill="1" applyBorder="1" applyAlignment="1">
      <x:alignment vertical="top" wrapText="1"/>
    </x:xf>
    <x:xf numFmtId="0" fontId="4" fillId="8" borderId="3" xfId="0" applyNumberFormat="1" applyFont="1" applyFill="1" applyBorder="1" applyAlignment="1">
      <x:alignment vertical="top" wrapText="1"/>
    </x:xf>
    <x:xf numFmtId="0" fontId="4" fillId="9" borderId="3" xfId="0" applyNumberFormat="1" applyFont="1" applyFill="1" applyBorder="1" applyAlignment="1">
      <x:alignment vertical="top" wrapText="1"/>
    </x:xf>
    <x:xf numFmtId="0" fontId="4" fillId="1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24"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adc95b35834db3" /><Relationship Type="http://schemas.openxmlformats.org/officeDocument/2006/relationships/theme" Target="/xl/theme/theme1.xml" Id="Rebe139f8a2384288" /><Relationship Type="http://schemas.openxmlformats.org/officeDocument/2006/relationships/sharedStrings" Target="/xl/sharedStrings.xml" Id="R534d1f4f00e34056" /><Relationship Type="http://schemas.openxmlformats.org/officeDocument/2006/relationships/worksheet" Target="/xl/worksheets/sheet1.xml" Id="Rd6883e675e4844a3" /><Relationship Type="http://schemas.openxmlformats.org/officeDocument/2006/relationships/worksheet" Target="/xl/worksheets/sheet2.xml" Id="R7315d574f6514156" /><Relationship Type="http://schemas.openxmlformats.org/officeDocument/2006/relationships/worksheet" Target="/xl/worksheets/sheet3.xml" Id="R27603aa9be854389" /><Relationship Type="http://schemas.openxmlformats.org/officeDocument/2006/relationships/worksheet" Target="/xl/worksheets/sheet4.xml" Id="R73a2bc88df244a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0" customHeight="1">
      <x:c r="A1" s="4" t="str">
        <x:v>HW06 API Test Case Workbook Summary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4" customHeight="1">
      <x:c r="A2" s="26" t="str">
        <x:v>Student: Đinh Hoàng Nam | Student ID: 23127430 | SUT: EShop | FR-01 contains 40 AI-generated cases; execution not started</x:v>
      </x:c>
      <x:c r="B2" s="26"/>
      <x:c r="C2" s="26"/>
      <x:c r="D2" s="26"/>
      <x:c r="E2" s="26"/>
      <x:c r="F2" s="26"/>
      <x:c r="G2" s="26"/>
      <x:c r="H2" s="26"/>
      <x:c r="I2" s="26"/>
      <x:c r="J2" s="26"/>
    </x:row>
    <x:row r="4" ht="34" customHeight="1">
      <x:c r="A4" s="14" t="str">
        <x:v>Feature ID</x:v>
      </x:c>
      <x:c r="B4" s="14" t="str">
        <x:v>Test Case Sheet</x:v>
      </x:c>
      <x:c r="C4" s="14" t="str">
        <x:v>AI-generated</x:v>
      </x:c>
      <x:c r="D4" s="14" t="str">
        <x:v>Human-added</x:v>
      </x:c>
      <x:c r="E4" s="14" t="str">
        <x:v>Total</x:v>
      </x:c>
      <x:c r="F4" s="14" t="str">
        <x:v>Executed</x:v>
      </x:c>
      <x:c r="G4" s="14" t="str">
        <x:v>Passed</x:v>
      </x:c>
      <x:c r="H4" s="14" t="str">
        <x:v>Failed</x:v>
      </x:c>
      <x:c r="I4" s="14" t="str">
        <x:v>Blocked</x:v>
      </x:c>
      <x:c r="J4" s="14" t="str">
        <x:v>Unique bugs</x:v>
      </x:c>
    </x:row>
    <x:row r="5">
      <x:c r="A5" s="31" t="str">
        <x:v>FR-01</x:v>
      </x:c>
      <x:c r="B5" s="31" t="str">
        <x:v>FR01_Registration</x:v>
      </x:c>
      <x:c r="C5" s="40" t="n">
        <x:f>COUNTIF('FR01_Registration'!$D$5:$D$204,"AI")</x:f>
        <x:v>40</x:v>
      </x:c>
      <x:c r="D5" s="40" t="n">
        <x:f>COUNTIF('FR01_Registration'!$D$5:$D$204,"HUMAN")</x:f>
        <x:v>0</x:v>
      </x:c>
      <x:c r="E5" s="40" t="n">
        <x:f>COUNTA('FR01_Registration'!$A$5:$A$204)</x:f>
        <x:v>40</x:v>
      </x:c>
      <x:c r="F5" s="40" t="n">
        <x:f>COUNTIF('FR01_Registration'!$S$5:$S$204,"PASS")+COUNTIF('FR01_Registration'!$S$5:$S$204,"FAIL")+COUNTIF('FR01_Registration'!$S$5:$S$204,"BLOCKED")</x:f>
        <x:v>0</x:v>
      </x:c>
      <x:c r="G5" s="40" t="n">
        <x:f>COUNTIF('FR01_Registration'!$S$5:$S$204,"PASS")</x:f>
        <x:v>0</x:v>
      </x:c>
      <x:c r="H5" s="40" t="n">
        <x:f>COUNTIF('FR01_Registration'!$S$5:$S$204,"FAIL")</x:f>
        <x:v>0</x:v>
      </x:c>
      <x:c r="I5" s="40" t="n">
        <x:f>COUNTIF('FR01_Registration'!$S$5:$S$204,"BLOCKED")</x:f>
        <x:v>0</x:v>
      </x:c>
      <x:c r="J5" s="40" t="n">
        <x:f>IF(COUNTA('FR01_Registration'!$T$5:$T$204)=0,0,IFERROR(SUMPRODUCT(('FR01_Registration'!$T$5:$T$204&lt;&gt;"")/COUNTIF('FR01_Registration'!$T$5:$T$204,'FR01_Registration'!$T$5:$T$204&amp;"")),0))</x:f>
        <x:v>0</x:v>
      </x:c>
    </x:row>
    <x:row r="6">
      <x:c r="A6" s="32" t="str">
        <x:v>FR-07</x:v>
      </x:c>
      <x:c r="B6" s="32" t="str">
        <x:v>FR07_ShoppingCart</x:v>
      </x:c>
      <x:c r="C6" s="41" t="n">
        <x:f>COUNTIF('FR07_ShoppingCart'!$D$5:$D$204,"AI")</x:f>
        <x:v>0</x:v>
      </x:c>
      <x:c r="D6" s="41" t="n">
        <x:f>COUNTIF('FR07_ShoppingCart'!$D$5:$D$204,"HUMAN")</x:f>
        <x:v>0</x:v>
      </x:c>
      <x:c r="E6" s="41" t="n">
        <x:f>COUNTA('FR07_ShoppingCart'!$A$5:$A$204)</x:f>
        <x:v>0</x:v>
      </x:c>
      <x:c r="F6" s="41" t="n">
        <x:f>COUNTIF('FR07_ShoppingCart'!$S$5:$S$204,"PASS")+COUNTIF('FR07_ShoppingCart'!$S$5:$S$204,"FAIL")+COUNTIF('FR07_ShoppingCart'!$S$5:$S$204,"BLOCKED")</x:f>
        <x:v>0</x:v>
      </x:c>
      <x:c r="G6" s="41" t="n">
        <x:f>COUNTIF('FR07_ShoppingCart'!$S$5:$S$204,"PASS")</x:f>
        <x:v>0</x:v>
      </x:c>
      <x:c r="H6" s="41" t="n">
        <x:f>COUNTIF('FR07_ShoppingCart'!$S$5:$S$204,"FAIL")</x:f>
        <x:v>0</x:v>
      </x:c>
      <x:c r="I6" s="41" t="n">
        <x:f>COUNTIF('FR07_ShoppingCart'!$S$5:$S$204,"BLOCKED")</x:f>
        <x:v>0</x:v>
      </x:c>
      <x:c r="J6" s="41" t="n">
        <x:f>IF(COUNTA('FR07_ShoppingCart'!$T$5:$T$204)=0,0,IFERROR(SUMPRODUCT(('FR07_ShoppingCart'!$T$5:$T$204&lt;&gt;"")/COUNTIF('FR07_ShoppingCart'!$T$5:$T$204,'FR07_ShoppingCart'!$T$5:$T$204&amp;"")),0))</x:f>
        <x:v>0</x:v>
      </x:c>
    </x:row>
    <x:row r="7">
      <x:c r="A7" s="32" t="str">
        <x:v>FR-13</x:v>
      </x:c>
      <x:c r="B7" s="32" t="str">
        <x:v>FR13_Dashboard</x:v>
      </x:c>
      <x:c r="C7" s="41" t="n">
        <x:f>COUNTIF('FR13_Dashboard'!$D$5:$D$204,"AI")</x:f>
        <x:v>0</x:v>
      </x:c>
      <x:c r="D7" s="41" t="n">
        <x:f>COUNTIF('FR13_Dashboard'!$D$5:$D$204,"HUMAN")</x:f>
        <x:v>0</x:v>
      </x:c>
      <x:c r="E7" s="41" t="n">
        <x:f>COUNTA('FR13_Dashboard'!$A$5:$A$204)</x:f>
        <x:v>0</x:v>
      </x:c>
      <x:c r="F7" s="41" t="n">
        <x:f>COUNTIF('FR13_Dashboard'!$S$5:$S$204,"PASS")+COUNTIF('FR13_Dashboard'!$S$5:$S$204,"FAIL")+COUNTIF('FR13_Dashboard'!$S$5:$S$204,"BLOCKED")</x:f>
        <x:v>0</x:v>
      </x:c>
      <x:c r="G7" s="41" t="n">
        <x:f>COUNTIF('FR13_Dashboard'!$S$5:$S$204,"PASS")</x:f>
        <x:v>0</x:v>
      </x:c>
      <x:c r="H7" s="41" t="n">
        <x:f>COUNTIF('FR13_Dashboard'!$S$5:$S$204,"FAIL")</x:f>
        <x:v>0</x:v>
      </x:c>
      <x:c r="I7" s="41" t="n">
        <x:f>COUNTIF('FR13_Dashboard'!$S$5:$S$204,"BLOCKED")</x:f>
        <x:v>0</x:v>
      </x:c>
      <x:c r="J7" s="41" t="n">
        <x:f>IF(COUNTA('FR13_Dashboard'!$T$5:$T$204)=0,0,IFERROR(SUMPRODUCT(('FR13_Dashboard'!$T$5:$T$204&lt;&gt;"")/COUNTIF('FR13_Dashboard'!$T$5:$T$204,'FR13_Dashboard'!$T$5:$T$204&amp;"")),0))</x:f>
        <x:v>0</x:v>
      </x:c>
    </x:row>
    <x:row r="8">
      <x:c r="A8" s="36" t="str">
        <x:v>All selected features</x:v>
      </x:c>
      <x:c r="B8" s="36"/>
      <x:c r="C8" s="42" t="n">
        <x:f>SUM(C5:C7)</x:f>
        <x:v>40</x:v>
      </x:c>
      <x:c r="D8" s="42" t="n">
        <x:f>SUM(D5:D7)</x:f>
        <x:v>0</x:v>
      </x:c>
      <x:c r="E8" s="42" t="n">
        <x:f>SUM(E5:E7)</x:f>
        <x:v>40</x:v>
      </x:c>
      <x:c r="F8" s="42" t="n">
        <x:f>SUM(F5:F7)</x:f>
        <x:v>0</x:v>
      </x:c>
      <x:c r="G8" s="42" t="n">
        <x:f>SUM(G5:G7)</x:f>
        <x:v>0</x:v>
      </x:c>
      <x:c r="H8" s="42" t="n">
        <x:f>SUM(H5:H7)</x:f>
        <x:v>0</x:v>
      </x:c>
      <x:c r="I8" s="42" t="n">
        <x:f>SUM(I5:I7)</x:f>
        <x:v>0</x:v>
      </x:c>
      <x:c r="J8" s="42" t="n">
        <x:f>SUM(J5:J7)</x:f>
        <x:v>0</x:v>
      </x:c>
    </x:row>
    <x:row r="10">
      <x:c r="A10" s="44" t="str">
        <x:v>Data-entry validation rules</x:v>
      </x:c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>
      <x:c r="A11" s="50" t="str">
        <x:v>Source</x:v>
      </x:c>
      <x:c r="B11" s="48" t="str">
        <x:v>AI, HUMAN</x:v>
      </x:c>
    </x:row>
    <x:row r="12">
      <x:c r="A12" s="50" t="str">
        <x:v>Coverage Type</x:v>
      </x:c>
      <x:c r="B12" s="48" t="str">
        <x:v>Domain, State, Security, Schema</x:v>
      </x:c>
    </x:row>
    <x:row r="13">
      <x:c r="A13" s="50" t="str">
        <x:v>AI Verdict</x:v>
      </x:c>
      <x:c r="B13" s="48" t="str">
        <x:v>VALID, INVALID, INCOMPLETE, TO DO HUMAN</x:v>
      </x:c>
    </x:row>
    <x:row r="14">
      <x:c r="A14" s="50" t="str">
        <x:v>Execution Status</x:v>
      </x:c>
      <x:c r="B14" s="48" t="str">
        <x:v>NOT RUN, PASS, FAIL, BLOCKED</x:v>
      </x:c>
    </x:row>
  </x:sheetData>
  <x:mergeCells>
    <x:mergeCell ref="A1:J1"/>
    <x:mergeCell ref="A2:J2"/>
    <x:mergeCell ref="A8:B8"/>
    <x:mergeCell ref="A10:J10"/>
    <x:mergeCell ref="B11:J11"/>
    <x:mergeCell ref="B12:J12"/>
    <x:mergeCell ref="B13:J13"/>
    <x:mergeCell ref="B14:J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FR-01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40 AI-generated registration API test cases | Human audit pending | No execution results recorded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96" customHeight="1">
      <x:c r="A5" s="51" t="str">
        <x:v>FR01-API-TC001</x:v>
      </x:c>
      <x:c r="B5" s="22" t="str">
        <x:v>FR-01</x:v>
      </x:c>
      <x:c r="C5" s="22" t="str">
        <x:v>POST /api/register</x:v>
      </x:c>
      <x:c r="D5" s="22" t="str">
        <x:v>AI</x:v>
      </x:c>
      <x:c r="E5" s="53" t="str">
        <x:v>Domain</x:v>
      </x:c>
      <x:c r="F5" s="22" t="str">
        <x:v>Register with a typical valid name, unique email, and compliant password</x:v>
      </x:c>
      <x:c r="G5" s="22" t="str">
        <x:v>Backend is available; generated email does not exist; database can be inspected or login can verify state.</x:v>
      </x:c>
      <x:c r="H5" s="22" t="str">
        <x:v>{"name":"Đinh Hoàng Nam","email":"fr01.tc001@example.test","password":"Valid1@a"}</x:v>
      </x:c>
      <x:c r="I5" s="22" t="str">
        <x:v>1. Set base URL to http://127.0.0.1:3000.
2. Send POST /api/register with Content-Type: application/json.
3. Use body: {"name":"Đinh Hoàng Nam","email":"fr01.tc001@example.test","password":"Valid1@a"}.
4. Capture status, response headers, and JSON body.</x:v>
      </x:c>
      <x:c r="J5" s="22" t="str">
        <x:v>200</x:v>
      </x:c>
      <x:c r="K5" s="22" t="str">
        <x:v>JSON object reporting successful registration; message must equal "User registered successfully"; id is generated and must not be assumed to equal the example value 1.</x:v>
      </x:c>
      <x:c r="L5" s="22" t="str">
        <x:v>Documented example object: {"message":"User registered successfully","id":&lt;generated&gt;}. Formal required-property list, id type, optional properties, and additionalProperties policy are SPECIFICATION GAP.</x:v>
      </x:c>
      <x:c r="M5" s="22" t="str">
        <x:v>TO DO HUMAN</x:v>
      </x:c>
      <x:c r="N5" s="22" t="str">
        <x:v>Pending human audit. Confirm matrix traceability and approve every SPECIFICATION GAP oracle before execution.</x:v>
      </x:c>
      <x:c r="O5" s="22" t="str"/>
      <x:c r="P5" s="22" t="str"/>
      <x:c r="Q5" s="22" t="str">
        <x:v>FR01-API-TC001 | Register with a typical valid name, unique email, and compliant password</x:v>
      </x:c>
      <x:c r="R5" s="22" t="str"/>
      <x:c r="S5" s="22" t="str">
        <x:v>NOT RUN</x:v>
      </x:c>
      <x:c r="T5" s="22" t="str"/>
      <x:c r="U5" s="22" t="str">
        <x:v>Trace: Domain Matrix—valid name/email/password partitions; Contract Matrix—documented success example.</x:v>
      </x:c>
    </x:row>
    <x:row r="6" ht="96" customHeight="1">
      <x:c r="A6" s="52" t="str">
        <x:v>FR01-API-TC002</x:v>
      </x:c>
      <x:c r="B6" s="23" t="str">
        <x:v>FR-01</x:v>
      </x:c>
      <x:c r="C6" s="23" t="str">
        <x:v>POST /api/register</x:v>
      </x:c>
      <x:c r="D6" s="23" t="str">
        <x:v>AI</x:v>
      </x:c>
      <x:c r="E6" s="54" t="str">
        <x:v>Domain</x:v>
      </x:c>
      <x:c r="F6" s="23" t="str">
        <x:v>Accept a password at the documented minimum length of exactly 8 characters</x:v>
      </x:c>
      <x:c r="G6" s="23" t="str">
        <x:v>Backend is available; generated email does not exist.</x:v>
      </x:c>
      <x:c r="H6" s="23" t="str">
        <x:v>{"name":"Đinh Hoàng Nam","email":"fr01.tc002@example.test","password":"Aa1@aaaa"}</x:v>
      </x:c>
      <x:c r="I6" s="23" t="str">
        <x:v>1. Set base URL to http://127.0.0.1:3000.
2. Send POST /api/register with Content-Type: application/json.
3. Use body: {"name":"Đinh Hoàng Nam","email":"fr01.tc002@example.test","password":"Aa1@aaaa"}.
4. Capture status, response headers, and JSON body.</x:v>
      </x:c>
      <x:c r="J6" s="23" t="str">
        <x:v>200</x:v>
      </x:c>
      <x:c r="K6" s="23" t="str">
        <x:v>JSON object reporting successful registration; message must equal "User registered successfully"; id is generated and must not be assumed to equal the example value 1.</x:v>
      </x:c>
      <x:c r="L6" s="23" t="str">
        <x:v>Documented example object: {"message":"User registered successfully","id":&lt;generated&gt;}. Formal required-property list, id type, optional properties, and additionalProperties policy are SPECIFICATION GAP.</x:v>
      </x:c>
      <x:c r="M6" s="23" t="str">
        <x:v>TO DO HUMAN</x:v>
      </x:c>
      <x:c r="N6" s="23" t="str">
        <x:v>Pending human audit. Confirm matrix traceability and approve every SPECIFICATION GAP oracle before execution.</x:v>
      </x:c>
      <x:c r="O6" s="23" t="str"/>
      <x:c r="P6" s="23" t="str"/>
      <x:c r="Q6" s="23" t="str">
        <x:v>FR01-API-TC002 | Accept a password at the documented minimum length of exactly 8 characters</x:v>
      </x:c>
      <x:c r="R6" s="23" t="str"/>
      <x:c r="S6" s="23" t="str">
        <x:v>NOT RUN</x:v>
      </x:c>
      <x:c r="T6" s="23" t="str"/>
      <x:c r="U6" s="23" t="str">
        <x:v>Trace: Domain Matrix—password minimum boundary 8; required upper/lower/digit/listed special.</x:v>
      </x:c>
    </x:row>
    <x:row r="7" ht="96" customHeight="1">
      <x:c r="A7" s="52" t="str">
        <x:v>FR01-API-TC003</x:v>
      </x:c>
      <x:c r="B7" s="23" t="str">
        <x:v>FR-01</x:v>
      </x:c>
      <x:c r="C7" s="23" t="str">
        <x:v>POST /api/register</x:v>
      </x:c>
      <x:c r="D7" s="23" t="str">
        <x:v>AI</x:v>
      </x:c>
      <x:c r="E7" s="54" t="str">
        <x:v>Domain</x:v>
      </x:c>
      <x:c r="F7" s="23" t="str">
        <x:v>Reject a password one character below the documented minimum</x:v>
      </x:c>
      <x:c r="G7" s="23" t="str">
        <x:v>Backend is available; generated email does not exist.</x:v>
      </x:c>
      <x:c r="H7" s="23" t="str">
        <x:v>{"name":"Đinh Hoàng Nam","email":"fr01.tc003@example.test","password":"Aa1@aaa"}</x:v>
      </x:c>
      <x:c r="I7" s="23" t="str">
        <x:v>1. Set base URL to http://127.0.0.1:3000.
2. Send POST /api/register with Content-Type: application/json.
3. Use body: {"name":"Đinh Hoàng Nam","email":"fr01.tc003@example.test","password":"Aa1@aaa"}.
4. Capture status, response headers, and JSON body.
5. Verify the email remains absent using login failure or database inspection.</x:v>
      </x:c>
      <x:c r="J7" s="23" t="str">
        <x:v>SPECIFICATION GAP — HUMAN DECISION REQUIRED: invalid-request HTTP status is not defined.</x:v>
      </x:c>
      <x:c r="K7" s="23" t="str">
        <x:v>SPECIFICATION GAP — HUMAN DECISION REQUIRED: reject the request without creating/changing an account; exact error body is not defined.</x:v>
      </x:c>
      <x:c r="L7" s="23" t="str">
        <x:v>SPECIFICATION GAP — HUMAN DECISION REQUIRED: error response properties, types, and additionalProperties policy are not defined.</x:v>
      </x:c>
      <x:c r="M7" s="23" t="str">
        <x:v>TO DO HUMAN</x:v>
      </x:c>
      <x:c r="N7" s="23" t="str">
        <x:v>Pending human audit. Confirm matrix traceability and approve every SPECIFICATION GAP oracle before execution.</x:v>
      </x:c>
      <x:c r="O7" s="23" t="str"/>
      <x:c r="P7" s="23" t="str"/>
      <x:c r="Q7" s="23" t="str">
        <x:v>FR01-API-TC003 | Reject a password one character below the documented minimum</x:v>
      </x:c>
      <x:c r="R7" s="23" t="str"/>
      <x:c r="S7" s="23" t="str">
        <x:v>NOT RUN</x:v>
      </x:c>
      <x:c r="T7" s="23" t="str"/>
      <x:c r="U7" s="23" t="str">
        <x:v>Trace: Domain Matrix—password lower boundary 7 invalid; State Matrix—invalid request preserves S0.</x:v>
      </x:c>
    </x:row>
    <x:row r="8" ht="96" customHeight="1">
      <x:c r="A8" s="52" t="str">
        <x:v>FR01-API-TC004</x:v>
      </x:c>
      <x:c r="B8" s="23" t="str">
        <x:v>FR-01</x:v>
      </x:c>
      <x:c r="C8" s="23" t="str">
        <x:v>POST /api/register</x:v>
      </x:c>
      <x:c r="D8" s="23" t="str">
        <x:v>AI</x:v>
      </x:c>
      <x:c r="E8" s="54" t="str">
        <x:v>Domain</x:v>
      </x:c>
      <x:c r="F8" s="23" t="str">
        <x:v>Reject an 8-character password with no uppercase letter</x:v>
      </x:c>
      <x:c r="G8" s="23" t="str">
        <x:v>Backend is available; generated email does not exist.</x:v>
      </x:c>
      <x:c r="H8" s="23" t="str">
        <x:v>{"name":"Đinh Hoàng Nam","email":"fr01.tc004@example.test","password":"aa1@aaaa"}</x:v>
      </x:c>
      <x:c r="I8" s="23" t="str">
        <x:v>1. Set base URL to http://127.0.0.1:3000.
2. Send POST /api/register with Content-Type: application/json.
3. Use body: {"name":"Đinh Hoàng Nam","email":"fr01.tc004@example.test","password":"aa1@aaaa"}.
4. Capture status, response headers, and JSON body.</x:v>
      </x:c>
      <x:c r="J8" s="23" t="str">
        <x:v>SPECIFICATION GAP — HUMAN DECISION REQUIRED: invalid-request HTTP status is not defined.</x:v>
      </x:c>
      <x:c r="K8" s="23" t="str">
        <x:v>SPECIFICATION GAP — HUMAN DECISION REQUIRED: reject the request without creating/changing an account; exact error body is not defined.</x:v>
      </x:c>
      <x:c r="L8" s="23" t="str">
        <x:v>SPECIFICATION GAP — HUMAN DECISION REQUIRED: error response properties, types, and additionalProperties policy are not defined.</x:v>
      </x:c>
      <x:c r="M8" s="23" t="str">
        <x:v>TO DO HUMAN</x:v>
      </x:c>
      <x:c r="N8" s="23" t="str">
        <x:v>Pending human audit. Confirm matrix traceability and approve every SPECIFICATION GAP oracle before execution.</x:v>
      </x:c>
      <x:c r="O8" s="23" t="str"/>
      <x:c r="P8" s="23" t="str"/>
      <x:c r="Q8" s="23" t="str">
        <x:v>FR01-API-TC004 | Reject an 8-character password with no uppercase letter</x:v>
      </x:c>
      <x:c r="R8" s="23" t="str"/>
      <x:c r="S8" s="23" t="str">
        <x:v>NOT RUN</x:v>
      </x:c>
      <x:c r="T8" s="23" t="str"/>
      <x:c r="U8" s="23" t="str">
        <x:v>Trace: Domain Matrix—missing uppercase password partition.</x:v>
      </x:c>
    </x:row>
    <x:row r="9" ht="96" customHeight="1">
      <x:c r="A9" s="52" t="str">
        <x:v>FR01-API-TC005</x:v>
      </x:c>
      <x:c r="B9" s="23" t="str">
        <x:v>FR-01</x:v>
      </x:c>
      <x:c r="C9" s="23" t="str">
        <x:v>POST /api/register</x:v>
      </x:c>
      <x:c r="D9" s="23" t="str">
        <x:v>AI</x:v>
      </x:c>
      <x:c r="E9" s="54" t="str">
        <x:v>Domain</x:v>
      </x:c>
      <x:c r="F9" s="23" t="str">
        <x:v>Reject an 8-character password with no lowercase letter</x:v>
      </x:c>
      <x:c r="G9" s="23" t="str">
        <x:v>Backend is available; generated email does not exist.</x:v>
      </x:c>
      <x:c r="H9" s="23" t="str">
        <x:v>{"name":"Đinh Hoàng Nam","email":"fr01.tc005@example.test","password":"AA1@AAAA"}</x:v>
      </x:c>
      <x:c r="I9" s="23" t="str">
        <x:v>1. Set base URL to http://127.0.0.1:3000.
2. Send POST /api/register with Content-Type: application/json.
3. Use body: {"name":"Đinh Hoàng Nam","email":"fr01.tc005@example.test","password":"AA1@AAAA"}.
4. Capture status, response headers, and JSON body.</x:v>
      </x:c>
      <x:c r="J9" s="23" t="str">
        <x:v>SPECIFICATION GAP — HUMAN DECISION REQUIRED: invalid-request HTTP status is not defined.</x:v>
      </x:c>
      <x:c r="K9" s="23" t="str">
        <x:v>SPECIFICATION GAP — HUMAN DECISION REQUIRED: reject the request without creating/changing an account; exact error body is not defined.</x:v>
      </x:c>
      <x:c r="L9" s="23" t="str">
        <x:v>SPECIFICATION GAP — HUMAN DECISION REQUIRED: error response properties, types, and additionalProperties policy are not defined.</x:v>
      </x:c>
      <x:c r="M9" s="23" t="str">
        <x:v>TO DO HUMAN</x:v>
      </x:c>
      <x:c r="N9" s="23" t="str">
        <x:v>Pending human audit. Confirm matrix traceability and approve every SPECIFICATION GAP oracle before execution.</x:v>
      </x:c>
      <x:c r="O9" s="23" t="str"/>
      <x:c r="P9" s="23" t="str"/>
      <x:c r="Q9" s="23" t="str">
        <x:v>FR01-API-TC005 | Reject an 8-character password with no lowercase letter</x:v>
      </x:c>
      <x:c r="R9" s="23" t="str"/>
      <x:c r="S9" s="23" t="str">
        <x:v>NOT RUN</x:v>
      </x:c>
      <x:c r="T9" s="23" t="str"/>
      <x:c r="U9" s="23" t="str">
        <x:v>Trace: Domain Matrix—missing lowercase password partition.</x:v>
      </x:c>
    </x:row>
    <x:row r="10" ht="96" customHeight="1">
      <x:c r="A10" s="52" t="str">
        <x:v>FR01-API-TC006</x:v>
      </x:c>
      <x:c r="B10" s="23" t="str">
        <x:v>FR-01</x:v>
      </x:c>
      <x:c r="C10" s="23" t="str">
        <x:v>POST /api/register</x:v>
      </x:c>
      <x:c r="D10" s="23" t="str">
        <x:v>AI</x:v>
      </x:c>
      <x:c r="E10" s="54" t="str">
        <x:v>Domain</x:v>
      </x:c>
      <x:c r="F10" s="23" t="str">
        <x:v>Reject an 8-character password with no digit</x:v>
      </x:c>
      <x:c r="G10" s="23" t="str">
        <x:v>Backend is available; generated email does not exist.</x:v>
      </x:c>
      <x:c r="H10" s="23" t="str">
        <x:v>{"name":"Đinh Hoàng Nam","email":"fr01.tc006@example.test","password":"Aa@aaaaa"}</x:v>
      </x:c>
      <x:c r="I10" s="23" t="str">
        <x:v>1. Set base URL to http://127.0.0.1:3000.
2. Send POST /api/register with Content-Type: application/json.
3. Use body: {"name":"Đinh Hoàng Nam","email":"fr01.tc006@example.test","password":"Aa@aaaaa"}.
4. Capture status, response headers, and JSON body.</x:v>
      </x:c>
      <x:c r="J10" s="23" t="str">
        <x:v>SPECIFICATION GAP — HUMAN DECISION REQUIRED: invalid-request HTTP status is not defined.</x:v>
      </x:c>
      <x:c r="K10" s="23" t="str">
        <x:v>SPECIFICATION GAP — HUMAN DECISION REQUIRED: reject the request without creating/changing an account; exact error body is not defined.</x:v>
      </x:c>
      <x:c r="L10" s="23" t="str">
        <x:v>SPECIFICATION GAP — HUMAN DECISION REQUIRED: error response properties, types, and additionalProperties policy are not defined.</x:v>
      </x:c>
      <x:c r="M10" s="23" t="str">
        <x:v>TO DO HUMAN</x:v>
      </x:c>
      <x:c r="N10" s="23" t="str">
        <x:v>Pending human audit. Confirm matrix traceability and approve every SPECIFICATION GAP oracle before execution.</x:v>
      </x:c>
      <x:c r="O10" s="23" t="str"/>
      <x:c r="P10" s="23" t="str"/>
      <x:c r="Q10" s="23" t="str">
        <x:v>FR01-API-TC006 | Reject an 8-character password with no digit</x:v>
      </x:c>
      <x:c r="R10" s="23" t="str"/>
      <x:c r="S10" s="23" t="str">
        <x:v>NOT RUN</x:v>
      </x:c>
      <x:c r="T10" s="23" t="str"/>
      <x:c r="U10" s="23" t="str">
        <x:v>Trace: Domain Matrix—missing digit password partition.</x:v>
      </x:c>
    </x:row>
    <x:row r="11" ht="96" customHeight="1">
      <x:c r="A11" s="52" t="str">
        <x:v>FR01-API-TC007</x:v>
      </x:c>
      <x:c r="B11" s="23" t="str">
        <x:v>FR-01</x:v>
      </x:c>
      <x:c r="C11" s="23" t="str">
        <x:v>POST /api/register</x:v>
      </x:c>
      <x:c r="D11" s="23" t="str">
        <x:v>AI</x:v>
      </x:c>
      <x:c r="E11" s="54" t="str">
        <x:v>Domain</x:v>
      </x:c>
      <x:c r="F11" s="23" t="str">
        <x:v>Reject an 8-character password with no special character</x:v>
      </x:c>
      <x:c r="G11" s="23" t="str">
        <x:v>Backend is available; generated email does not exist.</x:v>
      </x:c>
      <x:c r="H11" s="23" t="str">
        <x:v>{"name":"Đinh Hoàng Nam","email":"fr01.tc007@example.test","password":"Aa1aaaaa"}</x:v>
      </x:c>
      <x:c r="I11" s="23" t="str">
        <x:v>1. Set base URL to http://127.0.0.1:3000.
2. Send POST /api/register with Content-Type: application/json.
3. Use body: {"name":"Đinh Hoàng Nam","email":"fr01.tc007@example.test","password":"Aa1aaaaa"}.
4. Capture status, response headers, and JSON body.</x:v>
      </x:c>
      <x:c r="J11" s="23" t="str">
        <x:v>SPECIFICATION GAP — HUMAN DECISION REQUIRED: invalid-request HTTP status is not defined.</x:v>
      </x:c>
      <x:c r="K11" s="23" t="str">
        <x:v>SPECIFICATION GAP — HUMAN DECISION REQUIRED: reject the request without creating/changing an account; exact error body is not defined.</x:v>
      </x:c>
      <x:c r="L11" s="23" t="str">
        <x:v>SPECIFICATION GAP — HUMAN DECISION REQUIRED: error response properties, types, and additionalProperties policy are not defined.</x:v>
      </x:c>
      <x:c r="M11" s="23" t="str">
        <x:v>TO DO HUMAN</x:v>
      </x:c>
      <x:c r="N11" s="23" t="str">
        <x:v>Pending human audit. Confirm matrix traceability and approve every SPECIFICATION GAP oracle before execution.</x:v>
      </x:c>
      <x:c r="O11" s="23" t="str"/>
      <x:c r="P11" s="23" t="str"/>
      <x:c r="Q11" s="23" t="str">
        <x:v>FR01-API-TC007 | Reject an 8-character password with no special character</x:v>
      </x:c>
      <x:c r="R11" s="23" t="str"/>
      <x:c r="S11" s="23" t="str">
        <x:v>NOT RUN</x:v>
      </x:c>
      <x:c r="T11" s="23" t="str"/>
      <x:c r="U11" s="23" t="str">
        <x:v>Trace: Domain Matrix—missing special-character password partition.</x:v>
      </x:c>
    </x:row>
    <x:row r="12" ht="96" customHeight="1">
      <x:c r="A12" s="52" t="str">
        <x:v>FR01-API-TC008</x:v>
      </x:c>
      <x:c r="B12" s="23" t="str">
        <x:v>FR-01</x:v>
      </x:c>
      <x:c r="C12" s="23" t="str">
        <x:v>POST /api/register</x:v>
      </x:c>
      <x:c r="D12" s="23" t="str">
        <x:v>AI</x:v>
      </x:c>
      <x:c r="E12" s="54" t="str">
        <x:v>Domain</x:v>
      </x:c>
      <x:c r="F12" s="23" t="str">
        <x:v>Reject a password whose only punctuation is outside the documented @ $ ! % * ? &amp; set</x:v>
      </x:c>
      <x:c r="G12" s="23" t="str">
        <x:v>Backend is available; generated email does not exist.</x:v>
      </x:c>
      <x:c r="H12" s="23" t="str">
        <x:v>{"name":"Đinh Hoàng Nam","email":"fr01.tc008@example.test","password":"Aa1#aaaa"}</x:v>
      </x:c>
      <x:c r="I12" s="23" t="str">
        <x:v>1. Set base URL to http://127.0.0.1:3000.
2. Send POST /api/register with Content-Type: application/json.
3. Use body: {"name":"Đinh Hoàng Nam","email":"fr01.tc008@example.test","password":"Aa1#aaaa"}.
4. Capture status, response headers, and JSON body.</x:v>
      </x:c>
      <x:c r="J12" s="23" t="str">
        <x:v>SPECIFICATION GAP — HUMAN DECISION REQUIRED: invalid-request HTTP status is not defined.</x:v>
      </x:c>
      <x:c r="K12" s="23" t="str">
        <x:v>SPECIFICATION GAP — HUMAN DECISION REQUIRED: reject the request without creating/changing an account; exact error body is not defined.</x:v>
      </x:c>
      <x:c r="L12" s="23" t="str">
        <x:v>SPECIFICATION GAP — HUMAN DECISION REQUIRED: error response properties, types, and additionalProperties policy are not defined.</x:v>
      </x:c>
      <x:c r="M12" s="23" t="str">
        <x:v>TO DO HUMAN</x:v>
      </x:c>
      <x:c r="N12" s="23" t="str">
        <x:v>Pending human audit. Confirm matrix traceability and approve every SPECIFICATION GAP oracle before execution.</x:v>
      </x:c>
      <x:c r="O12" s="23" t="str"/>
      <x:c r="P12" s="23" t="str"/>
      <x:c r="Q12" s="23" t="str">
        <x:v>FR01-API-TC008 | Reject a password whose only punctuation is outside the documented @ $ ! % * ? &amp; set</x:v>
      </x:c>
      <x:c r="R12" s="23" t="str"/>
      <x:c r="S12" s="23" t="str">
        <x:v>NOT RUN</x:v>
      </x:c>
      <x:c r="T12" s="23" t="str"/>
      <x:c r="U12" s="23" t="str">
        <x:v>Trace: Domain Matrix—listed-special valid domain and unlisted-special invalid partition.</x:v>
      </x:c>
    </x:row>
    <x:row r="13" ht="96" customHeight="1">
      <x:c r="A13" s="52" t="str">
        <x:v>FR01-API-TC009</x:v>
      </x:c>
      <x:c r="B13" s="23" t="str">
        <x:v>FR-01</x:v>
      </x:c>
      <x:c r="C13" s="23" t="str">
        <x:v>POST /api/register</x:v>
      </x:c>
      <x:c r="D13" s="23" t="str">
        <x:v>AI</x:v>
      </x:c>
      <x:c r="E13" s="54" t="str">
        <x:v>Domain</x:v>
      </x:c>
      <x:c r="F13" s="23" t="str">
        <x:v>Reject an email address with no at-sign</x:v>
      </x:c>
      <x:c r="G13" s="23" t="str">
        <x:v>Backend is available; no account exists for the malformed identifier.</x:v>
      </x:c>
      <x:c r="H13" s="23" t="str">
        <x:v>{"name":"Đinh Hoàng Nam","email":"fr01.tc009.example.test","password":"Valid1@a"}</x:v>
      </x:c>
      <x:c r="I13" s="23" t="str">
        <x:v>1. Set base URL to http://127.0.0.1:3000.
2. Send POST /api/register with Content-Type: application/json.
3. Use body: {"name":"Đinh Hoàng Nam","email":"fr01.tc009.example.test","password":"Valid1@a"}.
4. Capture status, response headers, and JSON body.</x:v>
      </x:c>
      <x:c r="J13" s="23" t="str">
        <x:v>SPECIFICATION GAP — HUMAN DECISION REQUIRED: invalid-request HTTP status is not defined.</x:v>
      </x:c>
      <x:c r="K13" s="23" t="str">
        <x:v>SPECIFICATION GAP — HUMAN DECISION REQUIRED: reject the request without creating/changing an account; exact error body is not defined.</x:v>
      </x:c>
      <x:c r="L13" s="23" t="str">
        <x:v>SPECIFICATION GAP — HUMAN DECISION REQUIRED: error response properties, types, and additionalProperties policy are not defined.</x:v>
      </x:c>
      <x:c r="M13" s="23" t="str">
        <x:v>TO DO HUMAN</x:v>
      </x:c>
      <x:c r="N13" s="23" t="str">
        <x:v>Pending human audit. Confirm matrix traceability and approve every SPECIFICATION GAP oracle before execution.</x:v>
      </x:c>
      <x:c r="O13" s="23" t="str"/>
      <x:c r="P13" s="23" t="str"/>
      <x:c r="Q13" s="23" t="str">
        <x:v>FR01-API-TC009 | Reject an email address with no at-sign</x:v>
      </x:c>
      <x:c r="R13" s="23" t="str"/>
      <x:c r="S13" s="23" t="str">
        <x:v>NOT RUN</x:v>
      </x:c>
      <x:c r="T13" s="23" t="str"/>
      <x:c r="U13" s="23" t="str">
        <x:v>Trace: Domain Matrix—invalid email syntax, missing @.</x:v>
      </x:c>
    </x:row>
    <x:row r="14" ht="96" customHeight="1">
      <x:c r="A14" s="52" t="str">
        <x:v>FR01-API-TC010</x:v>
      </x:c>
      <x:c r="B14" s="23" t="str">
        <x:v>FR-01</x:v>
      </x:c>
      <x:c r="C14" s="23" t="str">
        <x:v>POST /api/register</x:v>
      </x:c>
      <x:c r="D14" s="23" t="str">
        <x:v>AI</x:v>
      </x:c>
      <x:c r="E14" s="54" t="str">
        <x:v>Domain</x:v>
      </x:c>
      <x:c r="F14" s="23" t="str">
        <x:v>Reject an email address with an empty local part</x:v>
      </x:c>
      <x:c r="G14" s="23" t="str">
        <x:v>Backend is available; no account exists for the malformed identifier.</x:v>
      </x:c>
      <x:c r="H14" s="23" t="str">
        <x:v>{"name":"Đinh Hoàng Nam","email":"@example.test","password":"Valid1@a"}</x:v>
      </x:c>
      <x:c r="I14" s="23" t="str">
        <x:v>1. Set base URL to http://127.0.0.1:3000.
2. Send POST /api/register with Content-Type: application/json.
3. Use body: {"name":"Đinh Hoàng Nam","email":"@example.test","password":"Valid1@a"}.
4. Capture status, response headers, and JSON body.</x:v>
      </x:c>
      <x:c r="J14" s="23" t="str">
        <x:v>SPECIFICATION GAP — HUMAN DECISION REQUIRED: invalid-request HTTP status is not defined.</x:v>
      </x:c>
      <x:c r="K14" s="23" t="str">
        <x:v>SPECIFICATION GAP — HUMAN DECISION REQUIRED: reject the request without creating/changing an account; exact error body is not defined.</x:v>
      </x:c>
      <x:c r="L14" s="23" t="str">
        <x:v>SPECIFICATION GAP — HUMAN DECISION REQUIRED: error response properties, types, and additionalProperties policy are not defined.</x:v>
      </x:c>
      <x:c r="M14" s="23" t="str">
        <x:v>TO DO HUMAN</x:v>
      </x:c>
      <x:c r="N14" s="23" t="str">
        <x:v>Pending human audit. Confirm matrix traceability and approve every SPECIFICATION GAP oracle before execution.</x:v>
      </x:c>
      <x:c r="O14" s="23" t="str"/>
      <x:c r="P14" s="23" t="str"/>
      <x:c r="Q14" s="23" t="str">
        <x:v>FR01-API-TC010 | Reject an email address with an empty local part</x:v>
      </x:c>
      <x:c r="R14" s="23" t="str"/>
      <x:c r="S14" s="23" t="str">
        <x:v>NOT RUN</x:v>
      </x:c>
      <x:c r="T14" s="23" t="str"/>
      <x:c r="U14" s="23" t="str">
        <x:v>Trace: Domain Matrix—invalid email syntax, empty local part.</x:v>
      </x:c>
    </x:row>
    <x:row r="15" ht="96" customHeight="1">
      <x:c r="A15" s="52" t="str">
        <x:v>FR01-API-TC011</x:v>
      </x:c>
      <x:c r="B15" s="23" t="str">
        <x:v>FR-01</x:v>
      </x:c>
      <x:c r="C15" s="23" t="str">
        <x:v>POST /api/register</x:v>
      </x:c>
      <x:c r="D15" s="23" t="str">
        <x:v>AI</x:v>
      </x:c>
      <x:c r="E15" s="54" t="str">
        <x:v>Domain</x:v>
      </x:c>
      <x:c r="F15" s="23" t="str">
        <x:v>Reject an email address with an empty domain part</x:v>
      </x:c>
      <x:c r="G15" s="23" t="str">
        <x:v>Backend is available; no account exists for the malformed identifier.</x:v>
      </x:c>
      <x:c r="H15" s="23" t="str">
        <x:v>{"name":"Đinh Hoàng Nam","email":"fr01.tc011@","password":"Valid1@a"}</x:v>
      </x:c>
      <x:c r="I15" s="23" t="str">
        <x:v>1. Set base URL to http://127.0.0.1:3000.
2. Send POST /api/register with Content-Type: application/json.
3. Use body: {"name":"Đinh Hoàng Nam","email":"fr01.tc011@","password":"Valid1@a"}.
4. Capture status, response headers, and JSON body.</x:v>
      </x:c>
      <x:c r="J15" s="23" t="str">
        <x:v>SPECIFICATION GAP — HUMAN DECISION REQUIRED: invalid-request HTTP status is not defined.</x:v>
      </x:c>
      <x:c r="K15" s="23" t="str">
        <x:v>SPECIFICATION GAP — HUMAN DECISION REQUIRED: reject the request without creating/changing an account; exact error body is not defined.</x:v>
      </x:c>
      <x:c r="L15" s="23" t="str">
        <x:v>SPECIFICATION GAP — HUMAN DECISION REQUIRED: error response properties, types, and additionalProperties policy are not defined.</x:v>
      </x:c>
      <x:c r="M15" s="23" t="str">
        <x:v>TO DO HUMAN</x:v>
      </x:c>
      <x:c r="N15" s="23" t="str">
        <x:v>Pending human audit. Confirm matrix traceability and approve every SPECIFICATION GAP oracle before execution.</x:v>
      </x:c>
      <x:c r="O15" s="23" t="str"/>
      <x:c r="P15" s="23" t="str"/>
      <x:c r="Q15" s="23" t="str">
        <x:v>FR01-API-TC011 | Reject an email address with an empty domain part</x:v>
      </x:c>
      <x:c r="R15" s="23" t="str"/>
      <x:c r="S15" s="23" t="str">
        <x:v>NOT RUN</x:v>
      </x:c>
      <x:c r="T15" s="23" t="str"/>
      <x:c r="U15" s="23" t="str">
        <x:v>Trace: Domain Matrix—invalid email syntax, empty domain.</x:v>
      </x:c>
    </x:row>
    <x:row r="16" ht="96" customHeight="1">
      <x:c r="A16" s="52" t="str">
        <x:v>FR01-API-TC012</x:v>
      </x:c>
      <x:c r="B16" s="23" t="str">
        <x:v>FR-01</x:v>
      </x:c>
      <x:c r="C16" s="23" t="str">
        <x:v>POST /api/register</x:v>
      </x:c>
      <x:c r="D16" s="23" t="str">
        <x:v>AI</x:v>
      </x:c>
      <x:c r="E16" s="54" t="str">
        <x:v>Domain</x:v>
      </x:c>
      <x:c r="F16" s="23" t="str">
        <x:v>Reject a request with the required name field missing</x:v>
      </x:c>
      <x:c r="G16" s="23" t="str">
        <x:v>Backend is available; generated email does not exist.</x:v>
      </x:c>
      <x:c r="H16" s="23" t="str">
        <x:v>{"email":"fr01.tc012@example.test","password":"Valid1@a"}</x:v>
      </x:c>
      <x:c r="I16" s="23" t="str">
        <x:v>1. Set base URL to http://127.0.0.1:3000.
2. Send POST /api/register with Content-Type: application/json.
3. Use body: {"email":"fr01.tc012@example.test","password":"Valid1@a"}.
4. Capture status, response headers, and JSON body.</x:v>
      </x:c>
      <x:c r="J16" s="23" t="str">
        <x:v>SPECIFICATION GAP — HUMAN DECISION REQUIRED: invalid-request HTTP status is not defined.</x:v>
      </x:c>
      <x:c r="K16" s="23" t="str">
        <x:v>SPECIFICATION GAP — HUMAN DECISION REQUIRED: reject the request without creating/changing an account; exact error body is not defined.</x:v>
      </x:c>
      <x:c r="L16" s="23" t="str">
        <x:v>SPECIFICATION GAP — HUMAN DECISION REQUIRED: error response properties, types, and additionalProperties policy are not defined.</x:v>
      </x:c>
      <x:c r="M16" s="23" t="str">
        <x:v>TO DO HUMAN</x:v>
      </x:c>
      <x:c r="N16" s="23" t="str">
        <x:v>Pending human audit. Confirm matrix traceability and approve every SPECIFICATION GAP oracle before execution.</x:v>
      </x:c>
      <x:c r="O16" s="23" t="str"/>
      <x:c r="P16" s="23" t="str"/>
      <x:c r="Q16" s="23" t="str">
        <x:v>FR01-API-TC012 | Reject a request with the required name field missing</x:v>
      </x:c>
      <x:c r="R16" s="23" t="str"/>
      <x:c r="S16" s="23" t="str">
        <x:v>NOT RUN</x:v>
      </x:c>
      <x:c r="T16" s="23" t="str"/>
      <x:c r="U16" s="23" t="str">
        <x:v>Trace: Domain Matrix—name missing; Contract Matrix—name is required.</x:v>
      </x:c>
    </x:row>
    <x:row r="17" ht="96" customHeight="1">
      <x:c r="A17" s="52" t="str">
        <x:v>FR01-API-TC013</x:v>
      </x:c>
      <x:c r="B17" s="23" t="str">
        <x:v>FR-01</x:v>
      </x:c>
      <x:c r="C17" s="23" t="str">
        <x:v>POST /api/register</x:v>
      </x:c>
      <x:c r="D17" s="23" t="str">
        <x:v>AI</x:v>
      </x:c>
      <x:c r="E17" s="54" t="str">
        <x:v>Domain</x:v>
      </x:c>
      <x:c r="F17" s="23" t="str">
        <x:v>Reject a request with the required email field missing</x:v>
      </x:c>
      <x:c r="G17" s="23" t="str">
        <x:v>Backend is available.</x:v>
      </x:c>
      <x:c r="H17" s="23" t="str">
        <x:v>{"name":"Đinh Hoàng Nam","password":"Valid1@a"}</x:v>
      </x:c>
      <x:c r="I17" s="23" t="str">
        <x:v>1. Set base URL to http://127.0.0.1:3000.
2. Send POST /api/register with Content-Type: application/json.
3. Use body: {"name":"Đinh Hoàng Nam","password":"Valid1@a"}.
4. Capture status, response headers, and JSON body.</x:v>
      </x:c>
      <x:c r="J17" s="23" t="str">
        <x:v>SPECIFICATION GAP — HUMAN DECISION REQUIRED: invalid-request HTTP status is not defined.</x:v>
      </x:c>
      <x:c r="K17" s="23" t="str">
        <x:v>SPECIFICATION GAP — HUMAN DECISION REQUIRED: reject the request without creating/changing an account; exact error body is not defined.</x:v>
      </x:c>
      <x:c r="L17" s="23" t="str">
        <x:v>SPECIFICATION GAP — HUMAN DECISION REQUIRED: error response properties, types, and additionalProperties policy are not defined.</x:v>
      </x:c>
      <x:c r="M17" s="23" t="str">
        <x:v>TO DO HUMAN</x:v>
      </x:c>
      <x:c r="N17" s="23" t="str">
        <x:v>Pending human audit. Confirm matrix traceability and approve every SPECIFICATION GAP oracle before execution.</x:v>
      </x:c>
      <x:c r="O17" s="23" t="str"/>
      <x:c r="P17" s="23" t="str"/>
      <x:c r="Q17" s="23" t="str">
        <x:v>FR01-API-TC013 | Reject a request with the required email field missing</x:v>
      </x:c>
      <x:c r="R17" s="23" t="str"/>
      <x:c r="S17" s="23" t="str">
        <x:v>NOT RUN</x:v>
      </x:c>
      <x:c r="T17" s="23" t="str"/>
      <x:c r="U17" s="23" t="str">
        <x:v>Trace: Domain Matrix—email missing; Contract Matrix—email is required.</x:v>
      </x:c>
    </x:row>
    <x:row r="18" ht="96" customHeight="1">
      <x:c r="A18" s="52" t="str">
        <x:v>FR01-API-TC014</x:v>
      </x:c>
      <x:c r="B18" s="23" t="str">
        <x:v>FR-01</x:v>
      </x:c>
      <x:c r="C18" s="23" t="str">
        <x:v>POST /api/register</x:v>
      </x:c>
      <x:c r="D18" s="23" t="str">
        <x:v>AI</x:v>
      </x:c>
      <x:c r="E18" s="54" t="str">
        <x:v>Domain</x:v>
      </x:c>
      <x:c r="F18" s="23" t="str">
        <x:v>Reject a request with the required password field missing</x:v>
      </x:c>
      <x:c r="G18" s="23" t="str">
        <x:v>Backend is available; generated email does not exist.</x:v>
      </x:c>
      <x:c r="H18" s="23" t="str">
        <x:v>{"name":"Đinh Hoàng Nam","email":"fr01.tc014@example.test"}</x:v>
      </x:c>
      <x:c r="I18" s="23" t="str">
        <x:v>1. Set base URL to http://127.0.0.1:3000.
2. Send POST /api/register with Content-Type: application/json.
3. Use body: {"name":"Đinh Hoàng Nam","email":"fr01.tc014@example.test"}.
4. Capture status, response headers, and JSON body.</x:v>
      </x:c>
      <x:c r="J18" s="23" t="str">
        <x:v>SPECIFICATION GAP — HUMAN DECISION REQUIRED: invalid-request HTTP status is not defined.</x:v>
      </x:c>
      <x:c r="K18" s="23" t="str">
        <x:v>SPECIFICATION GAP — HUMAN DECISION REQUIRED: reject the request without creating/changing an account; exact error body is not defined.</x:v>
      </x:c>
      <x:c r="L18" s="23" t="str">
        <x:v>SPECIFICATION GAP — HUMAN DECISION REQUIRED: error response properties, types, and additionalProperties policy are not defined.</x:v>
      </x:c>
      <x:c r="M18" s="23" t="str">
        <x:v>TO DO HUMAN</x:v>
      </x:c>
      <x:c r="N18" s="23" t="str">
        <x:v>Pending human audit. Confirm matrix traceability and approve every SPECIFICATION GAP oracle before execution.</x:v>
      </x:c>
      <x:c r="O18" s="23" t="str"/>
      <x:c r="P18" s="23" t="str"/>
      <x:c r="Q18" s="23" t="str">
        <x:v>FR01-API-TC014 | Reject a request with the required password field missing</x:v>
      </x:c>
      <x:c r="R18" s="23" t="str"/>
      <x:c r="S18" s="23" t="str">
        <x:v>NOT RUN</x:v>
      </x:c>
      <x:c r="T18" s="23" t="str"/>
      <x:c r="U18" s="23" t="str">
        <x:v>Trace: Domain Matrix—password missing; Contract Matrix—password is required.</x:v>
      </x:c>
    </x:row>
    <x:row r="19" ht="96" customHeight="1">
      <x:c r="A19" s="52" t="str">
        <x:v>FR01-API-TC015</x:v>
      </x:c>
      <x:c r="B19" s="23" t="str">
        <x:v>FR-01</x:v>
      </x:c>
      <x:c r="C19" s="23" t="str">
        <x:v>POST /api/register</x:v>
      </x:c>
      <x:c r="D19" s="23" t="str">
        <x:v>AI</x:v>
      </x:c>
      <x:c r="E19" s="54" t="str">
        <x:v>Domain</x:v>
      </x:c>
      <x:c r="F19" s="23" t="str">
        <x:v>Characterize null handling for the required name field without inventing an oracle</x:v>
      </x:c>
      <x:c r="G19" s="23" t="str">
        <x:v>Backend is available; generated email does not exist.</x:v>
      </x:c>
      <x:c r="H19" s="23" t="str">
        <x:v>{"name":null,"email":"fr01.tc015@example.test","password":"Valid1@a"}</x:v>
      </x:c>
      <x:c r="I19" s="23" t="str">
        <x:v>1. Set base URL to http://127.0.0.1:3000.
2. Send POST /api/register with Content-Type: application/json.
3. Use body: {"name":null,"email":"fr01.tc015@example.test","password":"Valid1@a"}.
4. Capture status, response headers, and JSON body.</x:v>
      </x:c>
      <x:c r="J19" s="23" t="str">
        <x:v>SPECIFICATION GAP — HUMAN DECISION REQUIRED: invalid-request HTTP status is not defined.</x:v>
      </x:c>
      <x:c r="K19" s="23" t="str">
        <x:v>SPECIFICATION GAP — HUMAN DECISION REQUIRED: reject the request without creating/changing an account; exact error body is not defined.</x:v>
      </x:c>
      <x:c r="L19" s="23" t="str">
        <x:v>SPECIFICATION GAP — HUMAN DECISION REQUIRED: error response properties, types, and additionalProperties policy are not defined.</x:v>
      </x:c>
      <x:c r="M19" s="23" t="str">
        <x:v>TO DO HUMAN</x:v>
      </x:c>
      <x:c r="N19" s="23" t="str">
        <x:v>Pending human audit. Confirm matrix traceability and approve every SPECIFICATION GAP oracle before execution.</x:v>
      </x:c>
      <x:c r="O19" s="23" t="str"/>
      <x:c r="P19" s="23" t="str"/>
      <x:c r="Q19" s="23" t="str">
        <x:v>FR01-API-TC015 | Characterize null handling for the required name field without inventing an oracle</x:v>
      </x:c>
      <x:c r="R19" s="23" t="str"/>
      <x:c r="S19" s="23" t="str">
        <x:v>NOT RUN</x:v>
      </x:c>
      <x:c r="T19" s="23" t="str"/>
      <x:c r="U19" s="23" t="str">
        <x:v>Trace: Domain Matrix—name null partition; exact name constraints are a SPECIFICATION GAP.</x:v>
      </x:c>
    </x:row>
    <x:row r="20" ht="96" customHeight="1">
      <x:c r="A20" s="52" t="str">
        <x:v>FR01-API-TC016</x:v>
      </x:c>
      <x:c r="B20" s="23" t="str">
        <x:v>FR-01</x:v>
      </x:c>
      <x:c r="C20" s="23" t="str">
        <x:v>POST /api/register</x:v>
      </x:c>
      <x:c r="D20" s="23" t="str">
        <x:v>AI</x:v>
      </x:c>
      <x:c r="E20" s="54" t="str">
        <x:v>Domain</x:v>
      </x:c>
      <x:c r="F20" s="23" t="str">
        <x:v>Reject a numeric email value as the wrong JSON type</x:v>
      </x:c>
      <x:c r="G20" s="23" t="str">
        <x:v>Backend is available; numeric value is not an existing account identifier.</x:v>
      </x:c>
      <x:c r="H20" s="23" t="str">
        <x:v>{"name":"Đinh Hoàng Nam","email":23127430,"password":"Valid1@a"}</x:v>
      </x:c>
      <x:c r="I20" s="23" t="str">
        <x:v>1. Set base URL to http://127.0.0.1:3000.
2. Send POST /api/register with Content-Type: application/json.
3. Use body: {"name":"Đinh Hoàng Nam","email":23127430,"password":"Valid1@a"}.
4. Capture status, response headers, and JSON body.</x:v>
      </x:c>
      <x:c r="J20" s="23" t="str">
        <x:v>SPECIFICATION GAP — HUMAN DECISION REQUIRED: invalid-request HTTP status is not defined.</x:v>
      </x:c>
      <x:c r="K20" s="23" t="str">
        <x:v>SPECIFICATION GAP — HUMAN DECISION REQUIRED: reject the request without creating/changing an account; exact error body is not defined.</x:v>
      </x:c>
      <x:c r="L20" s="23" t="str">
        <x:v>SPECIFICATION GAP — HUMAN DECISION REQUIRED: error response properties, types, and additionalProperties policy are not defined.</x:v>
      </x:c>
      <x:c r="M20" s="23" t="str">
        <x:v>TO DO HUMAN</x:v>
      </x:c>
      <x:c r="N20" s="23" t="str">
        <x:v>Pending human audit. Confirm matrix traceability and approve every SPECIFICATION GAP oracle before execution.</x:v>
      </x:c>
      <x:c r="O20" s="23" t="str"/>
      <x:c r="P20" s="23" t="str"/>
      <x:c r="Q20" s="23" t="str">
        <x:v>FR01-API-TC016 | Reject a numeric email value as the wrong JSON type</x:v>
      </x:c>
      <x:c r="R20" s="23" t="str"/>
      <x:c r="S20" s="23" t="str">
        <x:v>NOT RUN</x:v>
      </x:c>
      <x:c r="T20" s="23" t="str"/>
      <x:c r="U20" s="23" t="str">
        <x:v>Trace: Domain Matrix—email wrong-type partition.</x:v>
      </x:c>
    </x:row>
    <x:row r="21" ht="96" customHeight="1">
      <x:c r="A21" s="52" t="str">
        <x:v>FR01-API-TC017</x:v>
      </x:c>
      <x:c r="B21" s="23" t="str">
        <x:v>FR-01</x:v>
      </x:c>
      <x:c r="C21" s="23" t="str">
        <x:v>POST /api/register</x:v>
      </x:c>
      <x:c r="D21" s="23" t="str">
        <x:v>AI</x:v>
      </x:c>
      <x:c r="E21" s="54" t="str">
        <x:v>Domain</x:v>
      </x:c>
      <x:c r="F21" s="23" t="str">
        <x:v>Reject an array-valued password as the wrong JSON type</x:v>
      </x:c>
      <x:c r="G21" s="23" t="str">
        <x:v>Backend is available; generated email does not exist.</x:v>
      </x:c>
      <x:c r="H21" s="23" t="str">
        <x:v>{"name":"Đinh Hoàng Nam","email":"fr01.tc017@example.test","password":["Valid1@a"]}</x:v>
      </x:c>
      <x:c r="I21" s="23" t="str">
        <x:v>1. Set base URL to http://127.0.0.1:3000.
2. Send POST /api/register with Content-Type: application/json.
3. Use body: {"name":"Đinh Hoàng Nam","email":"fr01.tc017@example.test","password":["Valid1@a"]}.
4. Capture status, response headers, and JSON body.</x:v>
      </x:c>
      <x:c r="J21" s="23" t="str">
        <x:v>SPECIFICATION GAP — HUMAN DECISION REQUIRED: invalid-request HTTP status is not defined.</x:v>
      </x:c>
      <x:c r="K21" s="23" t="str">
        <x:v>SPECIFICATION GAP — HUMAN DECISION REQUIRED: reject the request without creating/changing an account; exact error body is not defined.</x:v>
      </x:c>
      <x:c r="L21" s="23" t="str">
        <x:v>SPECIFICATION GAP — HUMAN DECISION REQUIRED: error response properties, types, and additionalProperties policy are not defined.</x:v>
      </x:c>
      <x:c r="M21" s="23" t="str">
        <x:v>TO DO HUMAN</x:v>
      </x:c>
      <x:c r="N21" s="23" t="str">
        <x:v>Pending human audit. Confirm matrix traceability and approve every SPECIFICATION GAP oracle before execution.</x:v>
      </x:c>
      <x:c r="O21" s="23" t="str"/>
      <x:c r="P21" s="23" t="str"/>
      <x:c r="Q21" s="23" t="str">
        <x:v>FR01-API-TC017 | Reject an array-valued password as the wrong JSON type</x:v>
      </x:c>
      <x:c r="R21" s="23" t="str"/>
      <x:c r="S21" s="23" t="str">
        <x:v>NOT RUN</x:v>
      </x:c>
      <x:c r="T21" s="23" t="str"/>
      <x:c r="U21" s="23" t="str">
        <x:v>Trace: Domain Matrix—password wrong-type partition.</x:v>
      </x:c>
    </x:row>
    <x:row r="22" ht="96" customHeight="1">
      <x:c r="A22" s="52" t="str">
        <x:v>FR01-API-TC018</x:v>
      </x:c>
      <x:c r="B22" s="23" t="str">
        <x:v>FR-01</x:v>
      </x:c>
      <x:c r="C22" s="23" t="str">
        <x:v>POST /api/register</x:v>
      </x:c>
      <x:c r="D22" s="23" t="str">
        <x:v>AI</x:v>
      </x:c>
      <x:c r="E22" s="54" t="str">
        <x:v>Domain</x:v>
      </x:c>
      <x:c r="F22" s="23" t="str">
        <x:v>Characterize empty-string handling for the required name field</x:v>
      </x:c>
      <x:c r="G22" s="23" t="str">
        <x:v>Backend is available; generated email does not exist.</x:v>
      </x:c>
      <x:c r="H22" s="23" t="str">
        <x:v>{"name":"","email":"fr01.tc018@example.test","password":"Valid1@a"}</x:v>
      </x:c>
      <x:c r="I22" s="23" t="str">
        <x:v>1. Set base URL to http://127.0.0.1:3000.
2. Send POST /api/register with Content-Type: application/json.
3. Use body: {"name":"","email":"fr01.tc018@example.test","password":"Valid1@a"}.
4. Capture status, response headers, and JSON body.</x:v>
      </x:c>
      <x:c r="J22" s="23" t="str">
        <x:v>SPECIFICATION GAP — HUMAN DECISION REQUIRED: invalid-request HTTP status is not defined.</x:v>
      </x:c>
      <x:c r="K22" s="23" t="str">
        <x:v>SPECIFICATION GAP — HUMAN DECISION REQUIRED: reject the request without creating/changing an account; exact error body is not defined.</x:v>
      </x:c>
      <x:c r="L22" s="23" t="str">
        <x:v>SPECIFICATION GAP — HUMAN DECISION REQUIRED: error response properties, types, and additionalProperties policy are not defined.</x:v>
      </x:c>
      <x:c r="M22" s="23" t="str">
        <x:v>TO DO HUMAN</x:v>
      </x:c>
      <x:c r="N22" s="23" t="str">
        <x:v>Pending human audit. Confirm matrix traceability and approve every SPECIFICATION GAP oracle before execution.</x:v>
      </x:c>
      <x:c r="O22" s="23" t="str"/>
      <x:c r="P22" s="23" t="str"/>
      <x:c r="Q22" s="23" t="str">
        <x:v>FR01-API-TC018 | Characterize empty-string handling for the required name field</x:v>
      </x:c>
      <x:c r="R22" s="23" t="str"/>
      <x:c r="S22" s="23" t="str">
        <x:v>NOT RUN</x:v>
      </x:c>
      <x:c r="T22" s="23" t="str"/>
      <x:c r="U22" s="23" t="str">
        <x:v>Trace: Domain Matrix—name empty partition; minimum name length is a SPECIFICATION GAP.</x:v>
      </x:c>
    </x:row>
    <x:row r="23" ht="96" customHeight="1">
      <x:c r="A23" s="52" t="str">
        <x:v>FR01-API-TC019</x:v>
      </x:c>
      <x:c r="B23" s="23" t="str">
        <x:v>FR-01</x:v>
      </x:c>
      <x:c r="C23" s="23" t="str">
        <x:v>POST /api/register</x:v>
      </x:c>
      <x:c r="D23" s="23" t="str">
        <x:v>AI</x:v>
      </x:c>
      <x:c r="E23" s="54" t="str">
        <x:v>Domain</x:v>
      </x:c>
      <x:c r="F23" s="23" t="str">
        <x:v>Reject an empty-string email value</x:v>
      </x:c>
      <x:c r="G23" s="23" t="str">
        <x:v>Backend is available; empty email cannot identify an existing account.</x:v>
      </x:c>
      <x:c r="H23" s="23" t="str">
        <x:v>{"name":"Đinh Hoàng Nam","email":"","password":"Valid1@a"}</x:v>
      </x:c>
      <x:c r="I23" s="23" t="str">
        <x:v>1. Set base URL to http://127.0.0.1:3000.
2. Send POST /api/register with Content-Type: application/json.
3. Use body: {"name":"Đinh Hoàng Nam","email":"","password":"Valid1@a"}.
4. Capture status, response headers, and JSON body.</x:v>
      </x:c>
      <x:c r="J23" s="23" t="str">
        <x:v>SPECIFICATION GAP — HUMAN DECISION REQUIRED: invalid-request HTTP status is not defined.</x:v>
      </x:c>
      <x:c r="K23" s="23" t="str">
        <x:v>SPECIFICATION GAP — HUMAN DECISION REQUIRED: reject the request without creating/changing an account; exact error body is not defined.</x:v>
      </x:c>
      <x:c r="L23" s="23" t="str">
        <x:v>SPECIFICATION GAP — HUMAN DECISION REQUIRED: error response properties, types, and additionalProperties policy are not defined.</x:v>
      </x:c>
      <x:c r="M23" s="23" t="str">
        <x:v>TO DO HUMAN</x:v>
      </x:c>
      <x:c r="N23" s="23" t="str">
        <x:v>Pending human audit. Confirm matrix traceability and approve every SPECIFICATION GAP oracle before execution.</x:v>
      </x:c>
      <x:c r="O23" s="23" t="str"/>
      <x:c r="P23" s="23" t="str"/>
      <x:c r="Q23" s="23" t="str">
        <x:v>FR01-API-TC019 | Reject an empty-string email value</x:v>
      </x:c>
      <x:c r="R23" s="23" t="str"/>
      <x:c r="S23" s="23" t="str">
        <x:v>NOT RUN</x:v>
      </x:c>
      <x:c r="T23" s="23" t="str"/>
      <x:c r="U23" s="23" t="str">
        <x:v>Trace: Domain Matrix—email empty partition.</x:v>
      </x:c>
    </x:row>
    <x:row r="24" ht="96" customHeight="1">
      <x:c r="A24" s="52" t="str">
        <x:v>FR01-API-TC020</x:v>
      </x:c>
      <x:c r="B24" s="23" t="str">
        <x:v>FR-01</x:v>
      </x:c>
      <x:c r="C24" s="23" t="str">
        <x:v>POST /api/register</x:v>
      </x:c>
      <x:c r="D24" s="23" t="str">
        <x:v>AI</x:v>
      </x:c>
      <x:c r="E24" s="54" t="str">
        <x:v>Domain</x:v>
      </x:c>
      <x:c r="F24" s="23" t="str">
        <x:v>Characterize UTF-8 Vietnamese name acceptance while preserving the exact Unicode value</x:v>
      </x:c>
      <x:c r="G24" s="23" t="str">
        <x:v>Backend is available; generated email does not exist; client sends UTF-8 JSON.</x:v>
      </x:c>
      <x:c r="H24" s="23" t="str">
        <x:v>{"name":"Đinh Hoàng Nam – Nguyễn Ái Quốc","email":"fr01.tc020@example.test","password":"Valid1@a"}</x:v>
      </x:c>
      <x:c r="I24" s="23" t="str">
        <x:v>1. Set base URL to http://127.0.0.1:3000.
2. Send POST /api/register with Content-Type: application/json.
3. Use body: {"name":"Đinh Hoàng Nam – Nguyễn Ái Quốc","email":"fr01.tc020@example.test","password":"Valid1@a"}.
4. Capture status, response headers, and JSON body.
5. If accepted, verify the stored/displayed name through a supporting API or database without normalization loss.</x:v>
      </x:c>
      <x:c r="J24" s="23" t="str">
        <x:v>SPECIFICATION GAP — HUMAN DECISION REQUIRED: invalid-request HTTP status is not defined.</x:v>
      </x:c>
      <x:c r="K24" s="23" t="str">
        <x:v>SPECIFICATION GAP — HUMAN DECISION REQUIRED: Unicode name acceptance and normalization are not defined; if accepted, success should follow the documented success object.</x:v>
      </x:c>
      <x:c r="L24" s="23" t="str">
        <x:v>SPECIFICATION GAP — HUMAN DECISION REQUIRED: name encoding/normalization and response schema for this partition are not defined.</x:v>
      </x:c>
      <x:c r="M24" s="23" t="str">
        <x:v>TO DO HUMAN</x:v>
      </x:c>
      <x:c r="N24" s="23" t="str">
        <x:v>Pending human audit. Confirm matrix traceability and approve every SPECIFICATION GAP oracle before execution.</x:v>
      </x:c>
      <x:c r="O24" s="23" t="str"/>
      <x:c r="P24" s="23" t="str"/>
      <x:c r="Q24" s="23" t="str">
        <x:v>FR01-API-TC020 | Characterize UTF-8 Vietnamese name acceptance while preserving the exact Unicode value</x:v>
      </x:c>
      <x:c r="R24" s="23" t="str"/>
      <x:c r="S24" s="23" t="str">
        <x:v>NOT RUN</x:v>
      </x:c>
      <x:c r="T24" s="23" t="str"/>
      <x:c r="U24" s="23" t="str">
        <x:v>Trace: Domain Matrix—encoding/Unicode partition and unspecified name domain.</x:v>
      </x:c>
    </x:row>
    <x:row r="25" ht="96" customHeight="1">
      <x:c r="A25" s="52" t="str">
        <x:v>FR01-API-TC021</x:v>
      </x:c>
      <x:c r="B25" s="23" t="str">
        <x:v>FR-01</x:v>
      </x:c>
      <x:c r="C25" s="23" t="str">
        <x:v>POST /api/register</x:v>
      </x:c>
      <x:c r="D25" s="23" t="str">
        <x:v>AI</x:v>
      </x:c>
      <x:c r="E25" s="55" t="str">
        <x:v>State</x:v>
      </x:c>
      <x:c r="F25" s="23" t="str">
        <x:v>Transition from email-absent state S0 to registered state S1</x:v>
      </x:c>
      <x:c r="G25" s="23" t="str">
        <x:v>S0: generated email is confirmed absent using database inspection or a failed supporting login; cleanup can remove the generated account after review.</x:v>
      </x:c>
      <x:c r="H25" s="23" t="str">
        <x:v>{"name":"Đinh Hoàng Nam","email":"fr01.tc021@example.test","password":"Valid1@a"}</x:v>
      </x:c>
      <x:c r="I25" s="23" t="str">
        <x:v>1. Set base URL to http://127.0.0.1:3000.
2. Send POST /api/register with Content-Type: application/json.
3. Use body: {"name":"Đinh Hoàng Nam","email":"fr01.tc021@example.test","password":"Valid1@a"}.
4. Capture status, response headers, and JSON body.
5. Verify S1 using a successful supporting login, GET /api/me with a login token if available, or database inspection.</x:v>
      </x:c>
      <x:c r="J25" s="23" t="str">
        <x:v>200</x:v>
      </x:c>
      <x:c r="K25" s="23" t="str">
        <x:v>JSON object reporting successful registration; message must equal "User registered successfully"; id is generated and must not be assumed to equal the example value 1.</x:v>
      </x:c>
      <x:c r="L25" s="23" t="str">
        <x:v>Documented example object: {"message":"User registered successfully","id":&lt;generated&gt;}. Formal required-property list, id type, optional properties, and additionalProperties policy are SPECIFICATION GAP.</x:v>
      </x:c>
      <x:c r="M25" s="23" t="str">
        <x:v>TO DO HUMAN</x:v>
      </x:c>
      <x:c r="N25" s="23" t="str">
        <x:v>Pending human audit. Confirm matrix traceability and approve every SPECIFICATION GAP oracle before execution.</x:v>
      </x:c>
      <x:c r="O25" s="23" t="str"/>
      <x:c r="P25" s="23" t="str"/>
      <x:c r="Q25" s="23" t="str">
        <x:v>FR01-API-TC021 | Transition from email-absent state S0 to registered state S1</x:v>
      </x:c>
      <x:c r="R25" s="23" t="str"/>
      <x:c r="S25" s="23" t="str">
        <x:v>NOT RUN</x:v>
      </x:c>
      <x:c r="T25" s="23" t="str"/>
      <x:c r="U25" s="23" t="str">
        <x:v>Trace: State Matrix—S0 + valid registration → S1. Supporting verification APIs are not selected target APIs.</x:v>
      </x:c>
    </x:row>
    <x:row r="26" ht="96" customHeight="1">
      <x:c r="A26" s="52" t="str">
        <x:v>FR01-API-TC022</x:v>
      </x:c>
      <x:c r="B26" s="23" t="str">
        <x:v>FR-01</x:v>
      </x:c>
      <x:c r="C26" s="23" t="str">
        <x:v>POST /api/register</x:v>
      </x:c>
      <x:c r="D26" s="23" t="str">
        <x:v>AI</x:v>
      </x:c>
      <x:c r="E26" s="55" t="str">
        <x:v>State</x:v>
      </x:c>
      <x:c r="F26" s="23" t="str">
        <x:v>Reject registration when the email already exists and preserve state S1</x:v>
      </x:c>
      <x:c r="G26" s="23" t="str">
        <x:v>S1: pre-create account fr01.tc022@example.test using setup registration or fixture; record its original identity; do not count setup as a selected test case.</x:v>
      </x:c>
      <x:c r="H26" s="23" t="str">
        <x:v>{"name":"Duplicate Attempt","email":"fr01.tc022@example.test","password":"Other1@a"}</x:v>
      </x:c>
      <x:c r="I26" s="23" t="str">
        <x:v>1. Set base URL to http://127.0.0.1:3000.
2. Send POST /api/register with Content-Type: application/json.
3. Use body: {"name":"Duplicate Attempt","email":"fr01.tc022@example.test","password":"Other1@a"}.
4. Capture status, response headers, and JSON body.
5. Verify the original account still exists and its credentials/data were not replaced.</x:v>
      </x:c>
      <x:c r="J26" s="23" t="str">
        <x:v>SPECIFICATION GAP — HUMAN DECISION REQUIRED: invalid-request HTTP status is not defined.</x:v>
      </x:c>
      <x:c r="K26" s="23" t="str">
        <x:v>Reject duplicate email; do not create a second account and do not mutate the existing account. Exact error body is a SPECIFICATION GAP.</x:v>
      </x:c>
      <x:c r="L26" s="23" t="str">
        <x:v>SPECIFICATION GAP — HUMAN DECISION REQUIRED: error response properties, types, and additionalProperties policy are not defined.</x:v>
      </x:c>
      <x:c r="M26" s="23" t="str">
        <x:v>TO DO HUMAN</x:v>
      </x:c>
      <x:c r="N26" s="23" t="str">
        <x:v>Pending human audit. Confirm matrix traceability and approve every SPECIFICATION GAP oracle before execution.</x:v>
      </x:c>
      <x:c r="O26" s="23" t="str"/>
      <x:c r="P26" s="23" t="str"/>
      <x:c r="Q26" s="23" t="str">
        <x:v>FR01-API-TC022 | Reject registration when the email already exists and preserve state S1</x:v>
      </x:c>
      <x:c r="R26" s="23" t="str"/>
      <x:c r="S26" s="23" t="str">
        <x:v>NOT RUN</x:v>
      </x:c>
      <x:c r="T26" s="23" t="str"/>
      <x:c r="U26" s="23" t="str">
        <x:v>Trace: State Matrix—S1 + duplicate registration → S1; uniqueness business rule.</x:v>
      </x:c>
    </x:row>
    <x:row r="27" ht="96" customHeight="1">
      <x:c r="A27" s="52" t="str">
        <x:v>FR01-API-TC023</x:v>
      </x:c>
      <x:c r="B27" s="23" t="str">
        <x:v>FR-01</x:v>
      </x:c>
      <x:c r="C27" s="23" t="str">
        <x:v>POST /api/register</x:v>
      </x:c>
      <x:c r="D27" s="23" t="str">
        <x:v>AI</x:v>
      </x:c>
      <x:c r="E27" s="55" t="str">
        <x:v>State</x:v>
      </x:c>
      <x:c r="F27" s="23" t="str">
        <x:v>Preserve email-absent state S0 after invalid email syntax</x:v>
      </x:c>
      <x:c r="G27" s="23" t="str">
        <x:v>S0: no account exists for the test identity; database or supporting login is available for verification.</x:v>
      </x:c>
      <x:c r="H27" s="23" t="str">
        <x:v>{"name":"Đinh Hoàng Nam","email":"invalid-email","password":"Valid1@a"}</x:v>
      </x:c>
      <x:c r="I27" s="23" t="str">
        <x:v>1. Set base URL to http://127.0.0.1:3000.
2. Send POST /api/register with Content-Type: application/json.
3. Use body: {"name":"Đinh Hoàng Nam","email":"invalid-email","password":"Valid1@a"}.
4. Capture status, response headers, and JSON body.
5. Verify no account was created.</x:v>
      </x:c>
      <x:c r="J27" s="23" t="str">
        <x:v>SPECIFICATION GAP — HUMAN DECISION REQUIRED: invalid-request HTTP status is not defined.</x:v>
      </x:c>
      <x:c r="K27" s="23" t="str">
        <x:v>SPECIFICATION GAP — HUMAN DECISION REQUIRED: reject the request without creating/changing an account; exact error body is not defined.</x:v>
      </x:c>
      <x:c r="L27" s="23" t="str">
        <x:v>SPECIFICATION GAP — HUMAN DECISION REQUIRED: error response properties, types, and additionalProperties policy are not defined.</x:v>
      </x:c>
      <x:c r="M27" s="23" t="str">
        <x:v>TO DO HUMAN</x:v>
      </x:c>
      <x:c r="N27" s="23" t="str">
        <x:v>Pending human audit. Confirm matrix traceability and approve every SPECIFICATION GAP oracle before execution.</x:v>
      </x:c>
      <x:c r="O27" s="23" t="str"/>
      <x:c r="P27" s="23" t="str"/>
      <x:c r="Q27" s="23" t="str">
        <x:v>FR01-API-TC023 | Preserve email-absent state S0 after invalid email syntax</x:v>
      </x:c>
      <x:c r="R27" s="23" t="str"/>
      <x:c r="S27" s="23" t="str">
        <x:v>NOT RUN</x:v>
      </x:c>
      <x:c r="T27" s="23" t="str"/>
      <x:c r="U27" s="23" t="str">
        <x:v>Trace: State Matrix—invalid transition must preserve S0; Domain Matrix—invalid email.</x:v>
      </x:c>
    </x:row>
    <x:row r="28" ht="96" customHeight="1">
      <x:c r="A28" s="52" t="str">
        <x:v>FR01-API-TC024</x:v>
      </x:c>
      <x:c r="B28" s="23" t="str">
        <x:v>FR-01</x:v>
      </x:c>
      <x:c r="C28" s="23" t="str">
        <x:v>POST /api/register</x:v>
      </x:c>
      <x:c r="D28" s="23" t="str">
        <x:v>AI</x:v>
      </x:c>
      <x:c r="E28" s="55" t="str">
        <x:v>State</x:v>
      </x:c>
      <x:c r="F28" s="23" t="str">
        <x:v>Preserve email-absent state S0 after weak-password rejection</x:v>
      </x:c>
      <x:c r="G28" s="23" t="str">
        <x:v>S0: generated email is absent; database or supporting login is available for verification.</x:v>
      </x:c>
      <x:c r="H28" s="23" t="str">
        <x:v>{"name":"Đinh Hoàng Nam","email":"fr01.tc024@example.test","password":"weak"}</x:v>
      </x:c>
      <x:c r="I28" s="23" t="str">
        <x:v>1. Set base URL to http://127.0.0.1:3000.
2. Send POST /api/register with Content-Type: application/json.
3. Use body: {"name":"Đinh Hoàng Nam","email":"fr01.tc024@example.test","password":"weak"}.
4. Capture status, response headers, and JSON body.
5. Verify the generated email remains absent.</x:v>
      </x:c>
      <x:c r="J28" s="23" t="str">
        <x:v>SPECIFICATION GAP — HUMAN DECISION REQUIRED: invalid-request HTTP status is not defined.</x:v>
      </x:c>
      <x:c r="K28" s="23" t="str">
        <x:v>SPECIFICATION GAP — HUMAN DECISION REQUIRED: reject the request without creating/changing an account; exact error body is not defined.</x:v>
      </x:c>
      <x:c r="L28" s="23" t="str">
        <x:v>SPECIFICATION GAP — HUMAN DECISION REQUIRED: error response properties, types, and additionalProperties policy are not defined.</x:v>
      </x:c>
      <x:c r="M28" s="23" t="str">
        <x:v>TO DO HUMAN</x:v>
      </x:c>
      <x:c r="N28" s="23" t="str">
        <x:v>Pending human audit. Confirm matrix traceability and approve every SPECIFICATION GAP oracle before execution.</x:v>
      </x:c>
      <x:c r="O28" s="23" t="str"/>
      <x:c r="P28" s="23" t="str"/>
      <x:c r="Q28" s="23" t="str">
        <x:v>FR01-API-TC024 | Preserve email-absent state S0 after weak-password rejection</x:v>
      </x:c>
      <x:c r="R28" s="23" t="str"/>
      <x:c r="S28" s="23" t="str">
        <x:v>NOT RUN</x:v>
      </x:c>
      <x:c r="T28" s="23" t="str"/>
      <x:c r="U28" s="23" t="str">
        <x:v>Trace: State Matrix—weak password must not cause S0 → S1.</x:v>
      </x:c>
    </x:row>
    <x:row r="29" ht="96" customHeight="1">
      <x:c r="A29" s="52" t="str">
        <x:v>FR01-API-TC025</x:v>
      </x:c>
      <x:c r="B29" s="23" t="str">
        <x:v>FR-01</x:v>
      </x:c>
      <x:c r="C29" s="23" t="str">
        <x:v>POST /api/register</x:v>
      </x:c>
      <x:c r="D29" s="23" t="str">
        <x:v>AI</x:v>
      </x:c>
      <x:c r="E29" s="55" t="str">
        <x:v>State</x:v>
      </x:c>
      <x:c r="F29" s="23" t="str">
        <x:v>Characterize password-confirmation mismatch without assuming an undocumented API field</x:v>
      </x:c>
      <x:c r="G29" s="23" t="str">
        <x:v>S0: generated email is absent. Human reviewer must first decide the API transport/name for the requirements-level confirmation value.</x:v>
      </x:c>
      <x:c r="H29" s="23" t="str">
        <x:v>{"name":"Đinh Hoàng Nam","email":"fr01.tc025@example.test","password":"Valid1@a","passwordConfirmation":"Different1@"}</x:v>
      </x:c>
      <x:c r="I29" s="23" t="str">
        <x:v>1. Set base URL to http://127.0.0.1:3000.
2. Send POST /api/register with Content-Type: application/json.
3. Use body: {"name":"Đinh Hoàng Nam","email":"fr01.tc025@example.test","password":"Valid1@a","passwordConfirmation":"Different1@"}.
4. Capture status, response headers, and JSON body.
5. Do not execute until the human reviewer resolves whether passwordConfirmation is part of the API contract; then verify state remains S0 if mismatch is enforceable.</x:v>
      </x:c>
      <x:c r="J29" s="23" t="str">
        <x:v>SPECIFICATION GAP — HUMAN DECISION REQUIRED: invalid-request HTTP status is not defined.</x:v>
      </x:c>
      <x:c r="K29" s="23" t="str">
        <x:v>SPECIFICATION GAP — HUMAN DECISION REQUIRED: requirements demand confirmation but the API specification does not define its field name or transport; no expected transition may be finalized yet.</x:v>
      </x:c>
      <x:c r="L29" s="23" t="str">
        <x:v>SPECIFICATION GAP — HUMAN DECISION REQUIRED: confirmation-related error schema is undefined.</x:v>
      </x:c>
      <x:c r="M29" s="23" t="str">
        <x:v>TO DO HUMAN</x:v>
      </x:c>
      <x:c r="N29" s="23" t="str">
        <x:v>Pending human audit. Confirm matrix traceability and approve every SPECIFICATION GAP oracle before execution.</x:v>
      </x:c>
      <x:c r="O29" s="23" t="str"/>
      <x:c r="P29" s="23" t="str"/>
      <x:c r="Q29" s="23" t="str">
        <x:v>FR01-API-TC025 | Characterize password-confirmation mismatch without assuming an undocumented API field</x:v>
      </x:c>
      <x:c r="R29" s="23" t="str"/>
      <x:c r="S29" s="23" t="str">
        <x:v>NOT RUN</x:v>
      </x:c>
      <x:c r="T29" s="23" t="str"/>
      <x:c r="U29" s="23" t="str">
        <x:v>Trace: Contract/Domain/State Matrices—password confirmation contradiction; deliberately blocked for human oracle resolution.</x:v>
      </x:c>
    </x:row>
    <x:row r="30" ht="96" customHeight="1">
      <x:c r="A30" s="52" t="str">
        <x:v>FR01-API-TC026</x:v>
      </x:c>
      <x:c r="B30" s="23" t="str">
        <x:v>FR-01</x:v>
      </x:c>
      <x:c r="C30" s="23" t="str">
        <x:v>POST /api/register</x:v>
      </x:c>
      <x:c r="D30" s="23" t="str">
        <x:v>AI</x:v>
      </x:c>
      <x:c r="E30" s="55" t="str">
        <x:v>State</x:v>
      </x:c>
      <x:c r="F30" s="23" t="str">
        <x:v>Preserve S0 when a mandatory value is omitted from an otherwise valid request</x:v>
      </x:c>
      <x:c r="G30" s="23" t="str">
        <x:v>S0: generated email is absent; database or supporting login is available for verification.</x:v>
      </x:c>
      <x:c r="H30" s="23" t="str">
        <x:v>{"name":"Đinh Hoàng Nam","email":"fr01.tc026@example.test"}</x:v>
      </x:c>
      <x:c r="I30" s="23" t="str">
        <x:v>1. Set base URL to http://127.0.0.1:3000.
2. Send POST /api/register with Content-Type: application/json.
3. Use body: {"name":"Đinh Hoàng Nam","email":"fr01.tc026@example.test"}.
4. Capture status, response headers, and JSON body.
5. Verify the generated email remains absent.</x:v>
      </x:c>
      <x:c r="J30" s="23" t="str">
        <x:v>SPECIFICATION GAP — HUMAN DECISION REQUIRED: invalid-request HTTP status is not defined.</x:v>
      </x:c>
      <x:c r="K30" s="23" t="str">
        <x:v>SPECIFICATION GAP — HUMAN DECISION REQUIRED: reject the request without creating/changing an account; exact error body is not defined.</x:v>
      </x:c>
      <x:c r="L30" s="23" t="str">
        <x:v>SPECIFICATION GAP — HUMAN DECISION REQUIRED: error response properties, types, and additionalProperties policy are not defined.</x:v>
      </x:c>
      <x:c r="M30" s="23" t="str">
        <x:v>TO DO HUMAN</x:v>
      </x:c>
      <x:c r="N30" s="23" t="str">
        <x:v>Pending human audit. Confirm matrix traceability and approve every SPECIFICATION GAP oracle before execution.</x:v>
      </x:c>
      <x:c r="O30" s="23" t="str"/>
      <x:c r="P30" s="23" t="str"/>
      <x:c r="Q30" s="23" t="str">
        <x:v>FR01-API-TC026 | Preserve S0 when a mandatory value is omitted from an otherwise valid request</x:v>
      </x:c>
      <x:c r="R30" s="23" t="str"/>
      <x:c r="S30" s="23" t="str">
        <x:v>NOT RUN</x:v>
      </x:c>
      <x:c r="T30" s="23" t="str"/>
      <x:c r="U30" s="23" t="str">
        <x:v>Trace: State Matrix—invalid/missing-field request cannot create S1; Contract Matrix—mandatory password.</x:v>
      </x:c>
    </x:row>
    <x:row r="31" ht="96" customHeight="1">
      <x:c r="A31" s="52" t="str">
        <x:v>FR01-API-TC027</x:v>
      </x:c>
      <x:c r="B31" s="23" t="str">
        <x:v>FR-01</x:v>
      </x:c>
      <x:c r="C31" s="23" t="str">
        <x:v>POST /api/register</x:v>
      </x:c>
      <x:c r="D31" s="23" t="str">
        <x:v>AI</x:v>
      </x:c>
      <x:c r="E31" s="56" t="str">
        <x:v>Security</x:v>
      </x:c>
      <x:c r="F31" s="23" t="str">
        <x:v>Probe SQL injection handling in the name field without treating implementation behavior as the oracle</x:v>
      </x:c>
      <x:c r="G31" s="23" t="str">
        <x:v>Backend is available; generated email does not exist; database integrity can be checked.</x:v>
      </x:c>
      <x:c r="H31" s="23" t="str">
        <x:v>{"name":"Nam'); DROP TABLE users;--","email":"fr01.tc027@example.test","password":"Valid1@a"}</x:v>
      </x:c>
      <x:c r="I31" s="23" t="str">
        <x:v>1. Set base URL to http://127.0.0.1:3000.
2. Send POST /api/register with Content-Type: application/json.
3. Use body: {"name":"Nam'); DROP TABLE users;--","email":"fr01.tc027@example.test","password":"Valid1@a"}.
4. Capture status, response headers, and JSON body.
5. Verify users storage remains intact and no unintended query/data change occurs.</x:v>
      </x:c>
      <x:c r="J31" s="23" t="str">
        <x:v>SPECIFICATION GAP — HUMAN DECISION REQUIRED: invalid-request HTTP status is not defined.</x:v>
      </x:c>
      <x:c r="K31" s="23" t="str">
        <x:v>No SQL command may execute and no unintended database change may occur. Acceptance/rejection of this name is a SPECIFICATION GAP; if accepted, use the documented success object.</x:v>
      </x:c>
      <x:c r="L31" s="23" t="str">
        <x:v>Response schema follows the selected accepted/rejected branch; branch and error schema are SPECIFICATION GAP.</x:v>
      </x:c>
      <x:c r="M31" s="23" t="str">
        <x:v>TO DO HUMAN</x:v>
      </x:c>
      <x:c r="N31" s="23" t="str">
        <x:v>Pending human audit. Confirm matrix traceability and approve every SPECIFICATION GAP oracle before execution.</x:v>
      </x:c>
      <x:c r="O31" s="23" t="str"/>
      <x:c r="P31" s="23" t="str"/>
      <x:c r="Q31" s="23" t="str">
        <x:v>FR01-API-TC027 | Probe SQL injection handling in the name field without treating implementation behavior as the oracle</x:v>
      </x:c>
      <x:c r="R31" s="23" t="str"/>
      <x:c r="S31" s="23" t="str">
        <x:v>NOT RUN</x:v>
      </x:c>
      <x:c r="T31" s="23" t="str"/>
      <x:c r="U31" s="23" t="str">
        <x:v>Trace: Security Matrix—SEC-05 SQL injection; Domain Matrix—name character domain unspecified.</x:v>
      </x:c>
    </x:row>
    <x:row r="32" ht="96" customHeight="1">
      <x:c r="A32" s="52" t="str">
        <x:v>FR01-API-TC028</x:v>
      </x:c>
      <x:c r="B32" s="23" t="str">
        <x:v>FR-01</x:v>
      </x:c>
      <x:c r="C32" s="23" t="str">
        <x:v>POST /api/register</x:v>
      </x:c>
      <x:c r="D32" s="23" t="str">
        <x:v>AI</x:v>
      </x:c>
      <x:c r="E32" s="56" t="str">
        <x:v>Security</x:v>
      </x:c>
      <x:c r="F32" s="23" t="str">
        <x:v>Accept a standards-compliant password containing SQL-like text as opaque credential data</x:v>
      </x:c>
      <x:c r="G32" s="23" t="str">
        <x:v>Backend is available; generated email does not exist; storage/log inspection is permitted for SEC-01 review.</x:v>
      </x:c>
      <x:c r="H32" s="23" t="str">
        <x:v>{"name":"Đinh Hoàng Nam","email":"fr01.tc028@example.test","password":"Aa1@'OR1=1--"}</x:v>
      </x:c>
      <x:c r="I32" s="23" t="str">
        <x:v>1. Set base URL to http://127.0.0.1:3000.
2. Send POST /api/register with Content-Type: application/json.
3. Use body: {"name":"Đinh Hoàng Nam","email":"fr01.tc028@example.test","password":"Aa1@'OR1=1--"}.
4. Capture status, response headers, and JSON body.
5. Verify no SQL effect; inspect approved persistence/log evidence to confirm plaintext password is not exposed.</x:v>
      </x:c>
      <x:c r="J32" s="23" t="str">
        <x:v>200</x:v>
      </x:c>
      <x:c r="K32" s="23" t="str">
        <x:v>JSON object reporting successful registration; message must equal "User registered successfully"; id is generated and must not be assumed to equal the example value 1.</x:v>
      </x:c>
      <x:c r="L32" s="23" t="str">
        <x:v>Documented example object: {"message":"User registered successfully","id":&lt;generated&gt;}. Formal required-property list, id type, optional properties, and additionalProperties policy are SPECIFICATION GAP.</x:v>
      </x:c>
      <x:c r="M32" s="23" t="str">
        <x:v>TO DO HUMAN</x:v>
      </x:c>
      <x:c r="N32" s="23" t="str">
        <x:v>Pending human audit. Confirm matrix traceability and approve every SPECIFICATION GAP oracle before execution.</x:v>
      </x:c>
      <x:c r="O32" s="23" t="str"/>
      <x:c r="P32" s="23" t="str"/>
      <x:c r="Q32" s="23" t="str">
        <x:v>FR01-API-TC028 | Accept a standards-compliant password containing SQL-like text as opaque credential data</x:v>
      </x:c>
      <x:c r="R32" s="23" t="str"/>
      <x:c r="S32" s="23" t="str">
        <x:v>NOT RUN</x:v>
      </x:c>
      <x:c r="T32" s="23" t="str"/>
      <x:c r="U32" s="23" t="str">
        <x:v>Trace: Security Matrix—SEC-01 password protection and SEC-05 SQL injection; password meets documented composition/minimum.</x:v>
      </x:c>
    </x:row>
    <x:row r="33" ht="96" customHeight="1">
      <x:c r="A33" s="52" t="str">
        <x:v>FR01-API-TC029</x:v>
      </x:c>
      <x:c r="B33" s="23" t="str">
        <x:v>FR-01</x:v>
      </x:c>
      <x:c r="C33" s="23" t="str">
        <x:v>POST /api/register</x:v>
      </x:c>
      <x:c r="D33" s="23" t="str">
        <x:v>AI</x:v>
      </x:c>
      <x:c r="E33" s="56" t="str">
        <x:v>Security</x:v>
      </x:c>
      <x:c r="F33" s="23" t="str">
        <x:v>Reject a SQL-injection-shaped value that is not a valid email and preserve database integrity</x:v>
      </x:c>
      <x:c r="G33" s="23" t="str">
        <x:v>Backend is available; no account exists for the payload; database integrity can be checked.</x:v>
      </x:c>
      <x:c r="H33" s="23" t="str">
        <x:v>{"name":"Đinh Hoàng Nam","email":"' OR 1=1--","password":"Valid1@a"}</x:v>
      </x:c>
      <x:c r="I33" s="23" t="str">
        <x:v>1. Set base URL to http://127.0.0.1:3000.
2. Send POST /api/register with Content-Type: application/json.
3. Use body: {"name":"Đinh Hoàng Nam","email":"' OR 1=1--","password":"Valid1@a"}.
4. Capture status, response headers, and JSON body.
5. Verify no authentication bypass, mass query, account creation, or database mutation occurs.</x:v>
      </x:c>
      <x:c r="J33" s="23" t="str">
        <x:v>SPECIFICATION GAP — HUMAN DECISION REQUIRED: invalid-request HTTP status is not defined.</x:v>
      </x:c>
      <x:c r="K33" s="23" t="str">
        <x:v>SPECIFICATION GAP — HUMAN DECISION REQUIRED: reject the request without creating/changing an account; exact error body is not defined.</x:v>
      </x:c>
      <x:c r="L33" s="23" t="str">
        <x:v>SPECIFICATION GAP — HUMAN DECISION REQUIRED: error response properties, types, and additionalProperties policy are not defined.</x:v>
      </x:c>
      <x:c r="M33" s="23" t="str">
        <x:v>TO DO HUMAN</x:v>
      </x:c>
      <x:c r="N33" s="23" t="str">
        <x:v>Pending human audit. Confirm matrix traceability and approve every SPECIFICATION GAP oracle before execution.</x:v>
      </x:c>
      <x:c r="O33" s="23" t="str"/>
      <x:c r="P33" s="23" t="str"/>
      <x:c r="Q33" s="23" t="str">
        <x:v>FR01-API-TC029 | Reject a SQL-injection-shaped value that is not a valid email and preserve database integrity</x:v>
      </x:c>
      <x:c r="R33" s="23" t="str"/>
      <x:c r="S33" s="23" t="str">
        <x:v>NOT RUN</x:v>
      </x:c>
      <x:c r="T33" s="23" t="str"/>
      <x:c r="U33" s="23" t="str">
        <x:v>Trace: Security Matrix—SEC-05 SQL injection; Domain Matrix—invalid email.</x:v>
      </x:c>
    </x:row>
    <x:row r="34" ht="96" customHeight="1">
      <x:c r="A34" s="52" t="str">
        <x:v>FR01-API-TC030</x:v>
      </x:c>
      <x:c r="B34" s="23" t="str">
        <x:v>FR-01</x:v>
      </x:c>
      <x:c r="C34" s="23" t="str">
        <x:v>POST /api/register</x:v>
      </x:c>
      <x:c r="D34" s="23" t="str">
        <x:v>AI</x:v>
      </x:c>
      <x:c r="E34" s="56" t="str">
        <x:v>Security</x:v>
      </x:c>
      <x:c r="F34" s="23" t="str">
        <x:v>Characterize stored-XSS handling for a script-bearing name and define a downstream safety oracle</x:v>
      </x:c>
      <x:c r="G34" s="23" t="str">
        <x:v>Backend is available; generated email does not exist; an approved downstream UI/API exists to observe the stored name safely.</x:v>
      </x:c>
      <x:c r="H34" s="23" t="str">
        <x:v>{"name":"&lt;script&gt;alert(23127430)&lt;/script&gt;","email":"fr01.tc030@example.test","password":"Valid1@a"}</x:v>
      </x:c>
      <x:c r="I34" s="23" t="str">
        <x:v>1. Set base URL to http://127.0.0.1:3000.
2. Send POST /api/register with Content-Type: application/json.
3. Use body: {"name":"&lt;script&gt;alert(23127430)&lt;/script&gt;","email":"fr01.tc030@example.test","password":"Valid1@a"}.
4. Capture status, response headers, and JSON body.
5. If accepted, retrieve/render the name in the downstream consumer and verify it is encoded and never executes.</x:v>
      </x:c>
      <x:c r="J34" s="23" t="str">
        <x:v>SPECIFICATION GAP — HUMAN DECISION REQUIRED: invalid-request HTTP status is not defined.</x:v>
      </x:c>
      <x:c r="K34" s="23" t="str">
        <x:v>No script execution is allowed. Registration acceptance/rejection and sanitization location are SPECIFICATION GAP; if accepted, success follows the documented object.</x:v>
      </x:c>
      <x:c r="L34" s="23" t="str">
        <x:v>Response schema follows the selected branch; error schema and name-sanitization representation are SPECIFICATION GAP.</x:v>
      </x:c>
      <x:c r="M34" s="23" t="str">
        <x:v>TO DO HUMAN</x:v>
      </x:c>
      <x:c r="N34" s="23" t="str">
        <x:v>Pending human audit. Confirm matrix traceability and approve every SPECIFICATION GAP oracle before execution.</x:v>
      </x:c>
      <x:c r="O34" s="23" t="str"/>
      <x:c r="P34" s="23" t="str"/>
      <x:c r="Q34" s="23" t="str">
        <x:v>FR01-API-TC030 | Characterize stored-XSS handling for a script-bearing name and define a downstream safety oracle</x:v>
      </x:c>
      <x:c r="R34" s="23" t="str"/>
      <x:c r="S34" s="23" t="str">
        <x:v>NOT RUN</x:v>
      </x:c>
      <x:c r="T34" s="23" t="str"/>
      <x:c r="U34" s="23" t="str">
        <x:v>Trace: Security Matrix—SEC-04 stored XSS is only partially testable at registration and needs downstream verification.</x:v>
      </x:c>
    </x:row>
    <x:row r="35" ht="96" customHeight="1">
      <x:c r="A35" s="52" t="str">
        <x:v>FR01-API-TC031</x:v>
      </x:c>
      <x:c r="B35" s="23" t="str">
        <x:v>FR-01</x:v>
      </x:c>
      <x:c r="C35" s="23" t="str">
        <x:v>POST /api/register</x:v>
      </x:c>
      <x:c r="D35" s="23" t="str">
        <x:v>AI</x:v>
      </x:c>
      <x:c r="E35" s="56" t="str">
        <x:v>Security</x:v>
      </x:c>
      <x:c r="F35" s="23" t="str">
        <x:v>Probe reflected-XSS safety in an invalid email error path</x:v>
      </x:c>
      <x:c r="G35" s="23" t="str">
        <x:v>Backend is available; no account exists for the payload; response body and any browser rendering can be inspected safely.</x:v>
      </x:c>
      <x:c r="H35" s="23" t="str">
        <x:v>{"name":"Đinh Hoàng Nam","email":"&lt;img src=x onerror=alert(23127430)&gt;","password":"Valid1@a"}</x:v>
      </x:c>
      <x:c r="I35" s="23" t="str">
        <x:v>1. Set base URL to http://127.0.0.1:3000.
2. Send POST /api/register with Content-Type: application/json.
3. Use body: {"name":"Đinh Hoàng Nam","email":"&lt;img src=x onerror=alert(23127430)&gt;","password":"Valid1@a"}.
4. Capture status, response headers, and JSON body.
5. Verify any echoed input is safely encoded and never executes when displayed.</x:v>
      </x:c>
      <x:c r="J35" s="23" t="str">
        <x:v>SPECIFICATION GAP — HUMAN DECISION REQUIRED: invalid-request HTTP status is not defined.</x:v>
      </x:c>
      <x:c r="K35" s="23" t="str">
        <x:v>Reject invalid email; error content must not create executable reflected markup. Whether input is echoed and the exact error body are SPECIFICATION GAP.</x:v>
      </x:c>
      <x:c r="L35" s="23" t="str">
        <x:v>SPECIFICATION GAP — HUMAN DECISION REQUIRED: error response properties, types, and additionalProperties policy are not defined.</x:v>
      </x:c>
      <x:c r="M35" s="23" t="str">
        <x:v>TO DO HUMAN</x:v>
      </x:c>
      <x:c r="N35" s="23" t="str">
        <x:v>Pending human audit. Confirm matrix traceability and approve every SPECIFICATION GAP oracle before execution.</x:v>
      </x:c>
      <x:c r="O35" s="23" t="str"/>
      <x:c r="P35" s="23" t="str"/>
      <x:c r="Q35" s="23" t="str">
        <x:v>FR01-API-TC031 | Probe reflected-XSS safety in an invalid email error path</x:v>
      </x:c>
      <x:c r="R35" s="23" t="str"/>
      <x:c r="S35" s="23" t="str">
        <x:v>NOT RUN</x:v>
      </x:c>
      <x:c r="T35" s="23" t="str"/>
      <x:c r="U35" s="23" t="str">
        <x:v>Trace: Security Matrix—SEC-04 reflected XSS; Domain Matrix—invalid email.</x:v>
      </x:c>
    </x:row>
    <x:row r="36" ht="96" customHeight="1">
      <x:c r="A36" s="52" t="str">
        <x:v>FR01-API-TC032</x:v>
      </x:c>
      <x:c r="B36" s="23" t="str">
        <x:v>FR-01</x:v>
      </x:c>
      <x:c r="C36" s="23" t="str">
        <x:v>POST /api/register</x:v>
      </x:c>
      <x:c r="D36" s="23" t="str">
        <x:v>AI</x:v>
      </x:c>
      <x:c r="E36" s="56" t="str">
        <x:v>Security</x:v>
      </x:c>
      <x:c r="F36" s="23" t="str">
        <x:v>Prevent privilege escalation through an unexpected role field</x:v>
      </x:c>
      <x:c r="G36" s="23" t="str">
        <x:v>Backend is available; generated email does not exist; supporting login/token or database role inspection is available.</x:v>
      </x:c>
      <x:c r="H36" s="23" t="str">
        <x:v>{"name":"Đinh Hoàng Nam","email":"fr01.tc032@example.test","password":"Valid1@a","role":"admin"}</x:v>
      </x:c>
      <x:c r="I36" s="23" t="str">
        <x:v>1. Set base URL to http://127.0.0.1:3000.
2. Send POST /api/register with Content-Type: application/json.
3. Use body: {"name":"Đinh Hoàng Nam","email":"fr01.tc032@example.test","password":"Valid1@a","role":"admin"}.
4. Capture status, response headers, and JSON body.
5. If registration succeeds, verify via supporting auth/role evidence that the new account did not gain admin privileges.</x:v>
      </x:c>
      <x:c r="J36" s="23" t="str">
        <x:v>SPECIFICATION GAP — HUMAN DECISION REQUIRED: invalid-request HTTP status is not defined.</x:v>
      </x:c>
      <x:c r="K36" s="23" t="str">
        <x:v>Unexpected role input must never grant administrator privilege. Whether extra fields are ignored or rejected, and the corresponding status/body, are SPECIFICATION GAP.</x:v>
      </x:c>
      <x:c r="L36" s="23" t="str">
        <x:v>SPECIFICATION GAP — HUMAN DECISION REQUIRED: additionalProperties/mass-assignment behavior and the selected branch schema are undefined.</x:v>
      </x:c>
      <x:c r="M36" s="23" t="str">
        <x:v>TO DO HUMAN</x:v>
      </x:c>
      <x:c r="N36" s="23" t="str">
        <x:v>Pending human audit. Confirm matrix traceability and approve every SPECIFICATION GAP oracle before execution.</x:v>
      </x:c>
      <x:c r="O36" s="23" t="str"/>
      <x:c r="P36" s="23" t="str"/>
      <x:c r="Q36" s="23" t="str">
        <x:v>FR01-API-TC032 | Prevent privilege escalation through an unexpected role field</x:v>
      </x:c>
      <x:c r="R36" s="23" t="str"/>
      <x:c r="S36" s="23" t="str">
        <x:v>NOT RUN</x:v>
      </x:c>
      <x:c r="T36" s="23" t="str"/>
      <x:c r="U36" s="23" t="str">
        <x:v>Trace: Security Matrix—mass assignment/role escalation; Schema Matrix—additional properties unspecified.</x:v>
      </x:c>
    </x:row>
    <x:row r="37" ht="96" customHeight="1">
      <x:c r="A37" s="52" t="str">
        <x:v>FR01-API-TC033</x:v>
      </x:c>
      <x:c r="B37" s="23" t="str">
        <x:v>FR-01</x:v>
      </x:c>
      <x:c r="C37" s="23" t="str">
        <x:v>GET /api/register</x:v>
      </x:c>
      <x:c r="D37" s="23" t="str">
        <x:v>AI</x:v>
      </x:c>
      <x:c r="E37" s="56" t="str">
        <x:v>Security</x:v>
      </x:c>
      <x:c r="F37" s="23" t="str">
        <x:v>Reject or route a wrong HTTP method without creating an account</x:v>
      </x:c>
      <x:c r="G37" s="23" t="str">
        <x:v>Backend is available; generated query email is absent; state can be verified through database or supporting login.</x:v>
      </x:c>
      <x:c r="H37" s="23" t="str">
        <x:v>GET http://127.0.0.1:3000/api/register?email=fr01.tc033%40example.test</x:v>
      </x:c>
      <x:c r="I37" s="23" t="str">
        <x:v>1. Set base URL to http://127.0.0.1:3000.
2. Send GET /api/register?email=fr01.tc033%40example.test.
3. Capture status, headers, and body.
4. Verify no account is created for fr01.tc033@example.test.</x:v>
      </x:c>
      <x:c r="J37" s="23" t="str">
        <x:v>SPECIFICATION GAP — HUMAN DECISION REQUIRED: wrong-method status (for example 404/405) is not defined.</x:v>
      </x:c>
      <x:c r="K37" s="23" t="str">
        <x:v>Request must not register an account; exact routing/error body is a SPECIFICATION GAP.</x:v>
      </x:c>
      <x:c r="L37" s="23" t="str">
        <x:v>SPECIFICATION GAP — HUMAN DECISION REQUIRED: wrong-method error schema is not defined.</x:v>
      </x:c>
      <x:c r="M37" s="23" t="str">
        <x:v>TO DO HUMAN</x:v>
      </x:c>
      <x:c r="N37" s="23" t="str">
        <x:v>Pending human audit. Confirm matrix traceability and approve every SPECIFICATION GAP oracle before execution.</x:v>
      </x:c>
      <x:c r="O37" s="23" t="str"/>
      <x:c r="P37" s="23" t="str"/>
      <x:c r="Q37" s="23" t="str">
        <x:v>FR01-API-TC033 | Reject or route a wrong HTTP method without creating an account</x:v>
      </x:c>
      <x:c r="R37" s="23" t="str"/>
      <x:c r="S37" s="23" t="str">
        <x:v>NOT RUN</x:v>
      </x:c>
      <x:c r="T37" s="23" t="str"/>
      <x:c r="U37" s="23" t="str">
        <x:v>Trace: Security Matrix—wrong HTTP method/missing method contract; State oracle—email remains S0.</x:v>
      </x:c>
    </x:row>
    <x:row r="38" ht="96" customHeight="1">
      <x:c r="A38" s="52" t="str">
        <x:v>FR01-API-TC034</x:v>
      </x:c>
      <x:c r="B38" s="23" t="str">
        <x:v>FR-01</x:v>
      </x:c>
      <x:c r="C38" s="23" t="str">
        <x:v>POST /api/register</x:v>
      </x:c>
      <x:c r="D38" s="23" t="str">
        <x:v>AI</x:v>
      </x:c>
      <x:c r="E38" s="57" t="str">
        <x:v>Schema</x:v>
      </x:c>
      <x:c r="F38" s="23" t="str">
        <x:v>Validate the documented success response object for a valid registration</x:v>
      </x:c>
      <x:c r="G38" s="23" t="str">
        <x:v>Backend is available; generated email does not exist.</x:v>
      </x:c>
      <x:c r="H38" s="23" t="str">
        <x:v>{"name":"Đinh Hoàng Nam","email":"fr01.tc034@example.test","password":"Valid1@a"}</x:v>
      </x:c>
      <x:c r="I38" s="23" t="str">
        <x:v>1. Set base URL to http://127.0.0.1:3000.
2. Send POST /api/register with Content-Type: application/json.
3. Use body: {"name":"Đinh Hoàng Nam","email":"fr01.tc034@example.test","password":"Valid1@a"}.
4. Capture status, response headers, and JSON body.</x:v>
      </x:c>
      <x:c r="J38" s="23" t="str">
        <x:v>200</x:v>
      </x:c>
      <x:c r="K38" s="23" t="str">
        <x:v>JSON object reporting successful registration; message must equal "User registered successfully"; id is generated and must not be assumed to equal the example value 1.</x:v>
      </x:c>
      <x:c r="L38" s="23" t="str">
        <x:v>Documented example object: {"message":"User registered successfully","id":&lt;generated&gt;}. Formal required-property list, id type, optional properties, and additionalProperties policy are SPECIFICATION GAP.</x:v>
      </x:c>
      <x:c r="M38" s="23" t="str">
        <x:v>TO DO HUMAN</x:v>
      </x:c>
      <x:c r="N38" s="23" t="str">
        <x:v>Pending human audit. Confirm matrix traceability and approve every SPECIFICATION GAP oracle before execution.</x:v>
      </x:c>
      <x:c r="O38" s="23" t="str"/>
      <x:c r="P38" s="23" t="str"/>
      <x:c r="Q38" s="23" t="str">
        <x:v>FR01-API-TC034 | Validate the documented success response object for a valid registration</x:v>
      </x:c>
      <x:c r="R38" s="23" t="str"/>
      <x:c r="S38" s="23" t="str">
        <x:v>NOT RUN</x:v>
      </x:c>
      <x:c r="T38" s="23" t="str"/>
      <x:c r="U38" s="23" t="str">
        <x:v>Trace: Response Schema Matrix—documented 200 example and object fields.</x:v>
      </x:c>
    </x:row>
    <x:row r="39" ht="96" customHeight="1">
      <x:c r="A39" s="52" t="str">
        <x:v>FR01-API-TC035</x:v>
      </x:c>
      <x:c r="B39" s="23" t="str">
        <x:v>FR-01</x:v>
      </x:c>
      <x:c r="C39" s="23" t="str">
        <x:v>POST /api/register</x:v>
      </x:c>
      <x:c r="D39" s="23" t="str">
        <x:v>AI</x:v>
      </x:c>
      <x:c r="E39" s="57" t="str">
        <x:v>Schema</x:v>
      </x:c>
      <x:c r="F39" s="23" t="str">
        <x:v>Validate the exact documented success message text</x:v>
      </x:c>
      <x:c r="G39" s="23" t="str">
        <x:v>Backend is available; generated email does not exist.</x:v>
      </x:c>
      <x:c r="H39" s="23" t="str">
        <x:v>{"name":"Đinh Hoàng Nam","email":"fr01.tc035@example.test","password":"Valid1@a"}</x:v>
      </x:c>
      <x:c r="I39" s="23" t="str">
        <x:v>1. Set base URL to http://127.0.0.1:3000.
2. Send POST /api/register with Content-Type: application/json.
3. Use body: {"name":"Đinh Hoàng Nam","email":"fr01.tc035@example.test","password":"Valid1@a"}.
4. Capture status, response headers, and JSON body.</x:v>
      </x:c>
      <x:c r="J39" s="23" t="str">
        <x:v>200</x:v>
      </x:c>
      <x:c r="K39" s="23" t="str">
        <x:v>JSON response message must equal exactly "User registered successfully"; id may vary.</x:v>
      </x:c>
      <x:c r="L39" s="23" t="str">
        <x:v>Documented example object: {"message":"User registered successfully","id":&lt;generated&gt;}. Formal required-property list, id type, optional properties, and additionalProperties policy are SPECIFICATION GAP.</x:v>
      </x:c>
      <x:c r="M39" s="23" t="str">
        <x:v>TO DO HUMAN</x:v>
      </x:c>
      <x:c r="N39" s="23" t="str">
        <x:v>Pending human audit. Confirm matrix traceability and approve every SPECIFICATION GAP oracle before execution.</x:v>
      </x:c>
      <x:c r="O39" s="23" t="str"/>
      <x:c r="P39" s="23" t="str"/>
      <x:c r="Q39" s="23" t="str">
        <x:v>FR01-API-TC035 | Validate the exact documented success message text</x:v>
      </x:c>
      <x:c r="R39" s="23" t="str"/>
      <x:c r="S39" s="23" t="str">
        <x:v>NOT RUN</x:v>
      </x:c>
      <x:c r="T39" s="23" t="str"/>
      <x:c r="U39" s="23" t="str">
        <x:v>Trace: Response Schema Matrix—observable documented message field.</x:v>
      </x:c>
    </x:row>
    <x:row r="40" ht="96" customHeight="1">
      <x:c r="A40" s="52" t="str">
        <x:v>FR01-API-TC036</x:v>
      </x:c>
      <x:c r="B40" s="23" t="str">
        <x:v>FR-01</x:v>
      </x:c>
      <x:c r="C40" s="23" t="str">
        <x:v>POST /api/register</x:v>
      </x:c>
      <x:c r="D40" s="23" t="str">
        <x:v>AI</x:v>
      </x:c>
      <x:c r="E40" s="57" t="str">
        <x:v>Schema</x:v>
      </x:c>
      <x:c r="F40" s="23" t="str">
        <x:v>Validate that the returned id is generated rather than fixed to the example value</x:v>
      </x:c>
      <x:c r="G40" s="23" t="str">
        <x:v>Backend is available; two distinct generated emails do not exist; first setup registration may be used only to compare generated identifiers.</x:v>
      </x:c>
      <x:c r="H40" s="23" t="str">
        <x:v>{"name":"Đinh Hoàng Nam","email":"fr01.tc036@example.test","password":"Valid1@a"}</x:v>
      </x:c>
      <x:c r="I40" s="23" t="str">
        <x:v>1. Set base URL to http://127.0.0.1:3000.
2. Send POST /api/register with Content-Type: application/json.
3. Use body: {"name":"Đinh Hoàng Nam","email":"fr01.tc036@example.test","password":"Valid1@a"}.
4. Capture status, response headers, and JSON body.
5. Compare with another independently created account if needed; require a distinguishable generated identifier but do not assert id=1 or invent a formal type.</x:v>
      </x:c>
      <x:c r="J40" s="23" t="str">
        <x:v>200</x:v>
      </x:c>
      <x:c r="K40" s="23" t="str">
        <x:v>Success object includes an id that identifies the created account; it must not be asserted as the literal example value 1.</x:v>
      </x:c>
      <x:c r="L40" s="23" t="str">
        <x:v>Documented example includes id, but its formal type/format/uniqueness constraints are SPECIFICATION GAP.</x:v>
      </x:c>
      <x:c r="M40" s="23" t="str">
        <x:v>TO DO HUMAN</x:v>
      </x:c>
      <x:c r="N40" s="23" t="str">
        <x:v>Pending human audit. Confirm matrix traceability and approve every SPECIFICATION GAP oracle before execution.</x:v>
      </x:c>
      <x:c r="O40" s="23" t="str"/>
      <x:c r="P40" s="23" t="str"/>
      <x:c r="Q40" s="23" t="str">
        <x:v>FR01-API-TC036 | Validate that the returned id is generated rather than fixed to the example value</x:v>
      </x:c>
      <x:c r="R40" s="23" t="str"/>
      <x:c r="S40" s="23" t="str">
        <x:v>NOT RUN</x:v>
      </x:c>
      <x:c r="T40" s="23" t="str"/>
      <x:c r="U40" s="23" t="str">
        <x:v>Trace: Response Schema Matrix—id is shown only in an example; avoids hard-coding sample data.</x:v>
      </x:c>
    </x:row>
    <x:row r="41" ht="96" customHeight="1">
      <x:c r="A41" s="52" t="str">
        <x:v>FR01-API-TC037</x:v>
      </x:c>
      <x:c r="B41" s="23" t="str">
        <x:v>FR-01</x:v>
      </x:c>
      <x:c r="C41" s="23" t="str">
        <x:v>POST /api/register</x:v>
      </x:c>
      <x:c r="D41" s="23" t="str">
        <x:v>AI</x:v>
      </x:c>
      <x:c r="E41" s="57" t="str">
        <x:v>Schema</x:v>
      </x:c>
      <x:c r="F41" s="23" t="str">
        <x:v>Capture and assess the success response Content-Type without inventing an exact header oracle</x:v>
      </x:c>
      <x:c r="G41" s="23" t="str">
        <x:v>Backend is available; generated email does not exist.</x:v>
      </x:c>
      <x:c r="H41" s="23" t="str">
        <x:v>{"name":"Đinh Hoàng Nam","email":"fr01.tc037@example.test","password":"Valid1@a"}</x:v>
      </x:c>
      <x:c r="I41" s="23" t="str">
        <x:v>1. Set base URL to http://127.0.0.1:3000.
2. Send POST /api/register with Content-Type: application/json.
3. Use body: {"name":"Đinh Hoàng Nam","email":"fr01.tc037@example.test","password":"Valid1@a"}.
4. Capture status, response headers, and JSON body.</x:v>
      </x:c>
      <x:c r="J41" s="23" t="str">
        <x:v>200</x:v>
      </x:c>
      <x:c r="K41" s="23" t="str">
        <x:v>Body must be parseable as the documented JSON success object; exact Content-Type header value/parameters are SPECIFICATION GAP.</x:v>
      </x:c>
      <x:c r="L41" s="23" t="str">
        <x:v>Documented example object: {"message":"User registered successfully","id":&lt;generated&gt;}. Formal required-property list, id type, optional properties, and additionalProperties policy are SPECIFICATION GAP.</x:v>
      </x:c>
      <x:c r="M41" s="23" t="str">
        <x:v>TO DO HUMAN</x:v>
      </x:c>
      <x:c r="N41" s="23" t="str">
        <x:v>Pending human audit. Confirm matrix traceability and approve every SPECIFICATION GAP oracle before execution.</x:v>
      </x:c>
      <x:c r="O41" s="23" t="str"/>
      <x:c r="P41" s="23" t="str"/>
      <x:c r="Q41" s="23" t="str">
        <x:v>FR01-API-TC037 | Capture and assess the success response Content-Type without inventing an exact header oracle</x:v>
      </x:c>
      <x:c r="R41" s="23" t="str"/>
      <x:c r="S41" s="23" t="str">
        <x:v>NOT RUN</x:v>
      </x:c>
      <x:c r="T41" s="23" t="str"/>
      <x:c r="U41" s="23" t="str">
        <x:v>Trace: Response Schema Matrix—expected content type is not explicitly specified; characterization for human decision.</x:v>
      </x:c>
    </x:row>
    <x:row r="42" ht="96" customHeight="1">
      <x:c r="A42" s="52" t="str">
        <x:v>FR01-API-TC038</x:v>
      </x:c>
      <x:c r="B42" s="23" t="str">
        <x:v>FR-01</x:v>
      </x:c>
      <x:c r="C42" s="23" t="str">
        <x:v>POST /api/register</x:v>
      </x:c>
      <x:c r="D42" s="23" t="str">
        <x:v>AI</x:v>
      </x:c>
      <x:c r="E42" s="57" t="str">
        <x:v>Schema</x:v>
      </x:c>
      <x:c r="F42" s="23" t="str">
        <x:v>Detect unexpected or sensitive properties in a successful registration response</x:v>
      </x:c>
      <x:c r="G42" s="23" t="str">
        <x:v>Backend is available; generated email does not exist; human reviewer has a sensitive-field denylist.</x:v>
      </x:c>
      <x:c r="H42" s="23" t="str">
        <x:v>{"name":"Đinh Hoàng Nam","email":"fr01.tc038@example.test","password":"Valid1@a"}</x:v>
      </x:c>
      <x:c r="I42" s="23" t="str">
        <x:v>1. Set base URL to http://127.0.0.1:3000.
2. Send POST /api/register with Content-Type: application/json.
3. Use body: {"name":"Đinh Hoàng Nam","email":"fr01.tc038@example.test","password":"Valid1@a"}.
4. Capture status, response headers, and JSON body.
5. Inspect every top-level property; flag password, password hash, token/secret, internal SQL/stack details, or unintended role/privilege data.</x:v>
      </x:c>
      <x:c r="J42" s="23" t="str">
        <x:v>200</x:v>
      </x:c>
      <x:c r="K42" s="23" t="str">
        <x:v>Success must not expose plaintext password, password hash, secret/token, stack trace, or internal database details. Additional benign fields remain a SPECIFICATION GAP.</x:v>
      </x:c>
      <x:c r="L42" s="23" t="str">
        <x:v>Documented example contains message and id; formal additionalProperties and forbidden-field policy are SPECIFICATION GAP, with security denylist applied.</x:v>
      </x:c>
      <x:c r="M42" s="23" t="str">
        <x:v>TO DO HUMAN</x:v>
      </x:c>
      <x:c r="N42" s="23" t="str">
        <x:v>Pending human audit. Confirm matrix traceability and approve every SPECIFICATION GAP oracle before execution.</x:v>
      </x:c>
      <x:c r="O42" s="23" t="str"/>
      <x:c r="P42" s="23" t="str"/>
      <x:c r="Q42" s="23" t="str">
        <x:v>FR01-API-TC038 | Detect unexpected or sensitive properties in a successful registration response</x:v>
      </x:c>
      <x:c r="R42" s="23" t="str"/>
      <x:c r="S42" s="23" t="str">
        <x:v>NOT RUN</x:v>
      </x:c>
      <x:c r="T42" s="23" t="str"/>
      <x:c r="U42" s="23" t="str">
        <x:v>Trace: Response Schema Matrix—forbidden sensitive fields/additional properties; Security Matrix—unexpected sensitive-data exposure.</x:v>
      </x:c>
    </x:row>
    <x:row r="43" ht="96" customHeight="1">
      <x:c r="A43" s="52" t="str">
        <x:v>FR01-API-TC039</x:v>
      </x:c>
      <x:c r="B43" s="23" t="str">
        <x:v>FR-01</x:v>
      </x:c>
      <x:c r="C43" s="23" t="str">
        <x:v>POST /api/register</x:v>
      </x:c>
      <x:c r="D43" s="23" t="str">
        <x:v>AI</x:v>
      </x:c>
      <x:c r="E43" s="57" t="str">
        <x:v>Schema</x:v>
      </x:c>
      <x:c r="F43" s="23" t="str">
        <x:v>Characterize duplicate-email error status, content type, and schema</x:v>
      </x:c>
      <x:c r="G43" s="23" t="str">
        <x:v>Pre-create fr01.tc039@example.test as setup and confirm it exists; retain original account for post-check.</x:v>
      </x:c>
      <x:c r="H43" s="23" t="str">
        <x:v>{"name":"Duplicate Schema Probe","email":"fr01.tc039@example.test","password":"Other1@a"}</x:v>
      </x:c>
      <x:c r="I43" s="23" t="str">
        <x:v>1. Set base URL to http://127.0.0.1:3000.
2. Send POST /api/register with Content-Type: application/json.
3. Use body: {"name":"Duplicate Schema Probe","email":"fr01.tc039@example.test","password":"Other1@a"}.
4. Capture status, response headers, and JSON body.
5. Record the complete error payload and Content-Type; verify existing account is unchanged.</x:v>
      </x:c>
      <x:c r="J43" s="23" t="str">
        <x:v>SPECIFICATION GAP — HUMAN DECISION REQUIRED: invalid-request HTTP status is not defined.</x:v>
      </x:c>
      <x:c r="K43" s="23" t="str">
        <x:v>Reject duplicate email and preserve the existing account. Record, do not invent, the error fields and message.</x:v>
      </x:c>
      <x:c r="L43" s="23" t="str">
        <x:v>SPECIFICATION GAP — HUMAN DECISION REQUIRED: error response properties, types, and additionalProperties policy are not defined.</x:v>
      </x:c>
      <x:c r="M43" s="23" t="str">
        <x:v>TO DO HUMAN</x:v>
      </x:c>
      <x:c r="N43" s="23" t="str">
        <x:v>Pending human audit. Confirm matrix traceability and approve every SPECIFICATION GAP oracle before execution.</x:v>
      </x:c>
      <x:c r="O43" s="23" t="str"/>
      <x:c r="P43" s="23" t="str"/>
      <x:c r="Q43" s="23" t="str">
        <x:v>FR01-API-TC039 | Characterize duplicate-email error status, content type, and schema</x:v>
      </x:c>
      <x:c r="R43" s="23" t="str"/>
      <x:c r="S43" s="23" t="str">
        <x:v>NOT RUN</x:v>
      </x:c>
      <x:c r="T43" s="23" t="str"/>
      <x:c r="U43" s="23" t="str">
        <x:v>Trace: Response Schema Matrix—error response shape/content type gap; State Matrix—duplicate stays S1.</x:v>
      </x:c>
    </x:row>
    <x:row r="44" ht="96" customHeight="1">
      <x:c r="A44" s="52" t="str">
        <x:v>FR01-API-TC040</x:v>
      </x:c>
      <x:c r="B44" s="23" t="str">
        <x:v>FR-01</x:v>
      </x:c>
      <x:c r="C44" s="23" t="str">
        <x:v>POST /api/register</x:v>
      </x:c>
      <x:c r="D44" s="23" t="str">
        <x:v>AI</x:v>
      </x:c>
      <x:c r="E44" s="57" t="str">
        <x:v>Schema</x:v>
      </x:c>
      <x:c r="F44" s="23" t="str">
        <x:v>Characterize malformed-JSON error handling and response schema</x:v>
      </x:c>
      <x:c r="G44" s="23" t="str">
        <x:v>Backend is available; generated email literal in malformed body is absent.</x:v>
      </x:c>
      <x:c r="H44" s="23" t="str">
        <x:v>{"name":"Đinh Hoàng Nam","email":"fr01.tc040@example.test","password":"Valid1@a"</x:v>
      </x:c>
      <x:c r="I44" s="23" t="str">
        <x:v>1. Set base URL to http://127.0.0.1:3000.
2. Send POST /api/register with Content-Type: application/json.
3. Send the deliberately truncated JSON body: {"name":"Đinh Hoàng Nam","email":"fr01.tc040@example.test","password":"Valid1@a".
4. Capture status, Content-Type, and raw body.
5. Verify no account is created.</x:v>
      </x:c>
      <x:c r="J44" s="23" t="str">
        <x:v>SPECIFICATION GAP — HUMAN DECISION REQUIRED: invalid-request HTTP status is not defined.</x:v>
      </x:c>
      <x:c r="K44" s="23" t="str">
        <x:v>Malformed JSON must not create an account; exact parser error content and exposure policy are SPECIFICATION GAP.</x:v>
      </x:c>
      <x:c r="L44" s="23" t="str">
        <x:v>SPECIFICATION GAP — HUMAN DECISION REQUIRED: malformed-JSON error schema and Content-Type are not defined; no stack trace/internal details may be exposed.</x:v>
      </x:c>
      <x:c r="M44" s="23" t="str">
        <x:v>TO DO HUMAN</x:v>
      </x:c>
      <x:c r="N44" s="23" t="str">
        <x:v>Pending human audit. Confirm matrix traceability and approve every SPECIFICATION GAP oracle before execution.</x:v>
      </x:c>
      <x:c r="O44" s="23" t="str"/>
      <x:c r="P44" s="23" t="str"/>
      <x:c r="Q44" s="23" t="str">
        <x:v>FR01-API-TC040 | Characterize malformed-JSON error handling and response schema</x:v>
      </x:c>
      <x:c r="R44" s="23" t="str"/>
      <x:c r="S44" s="23" t="str">
        <x:v>NOT RUN</x:v>
      </x:c>
      <x:c r="T44" s="23" t="str"/>
      <x:c r="U44" s="23" t="str">
        <x:v>Trace: Response Schema Matrix—error shape/content type gap; Security Matrix—unexpected internal-data exposure.</x:v>
      </x:c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0" priority="1" operator="containsText" text="VALID"/>
    <x:cfRule type="containsText" dxfId="1" priority="2" operator="containsText" text="INVALID"/>
    <x:cfRule type="containsText" dxfId="2" priority="3" operator="containsText" text="INCOMPLETE"/>
    <x:cfRule type="containsText" dxfId="3" priority="4" operator="containsText" text="TO DO HUMAN"/>
  </x:conditionalFormatting>
  <x:conditionalFormatting sqref="S5:S204">
    <x:cfRule type="containsText" dxfId="4" priority="5" operator="containsText" text="NOT RUN"/>
    <x:cfRule type="containsText" dxfId="5" priority="6" operator="containsText" text="PASS"/>
    <x:cfRule type="containsText" dxfId="6" priority="7" operator="containsText" text="FAIL"/>
    <x:cfRule type="containsText" dxfId="7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FR-07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Target: GET /api/cart; POST /api/cart | Template only — no test cases have been added.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30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</x:row>
    <x:row r="6" ht="30" customHeight="1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3"/>
      <x:c r="O6" s="23"/>
      <x:c r="P6" s="23"/>
      <x:c r="Q6" s="23"/>
      <x:c r="R6" s="23"/>
      <x:c r="S6" s="23"/>
      <x:c r="T6" s="23"/>
      <x:c r="U6" s="23"/>
    </x:row>
    <x:row r="7" ht="30" customHeight="1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3"/>
      <x:c r="O7" s="23"/>
      <x:c r="P7" s="23"/>
      <x:c r="Q7" s="23"/>
      <x:c r="R7" s="23"/>
      <x:c r="S7" s="23"/>
      <x:c r="T7" s="23"/>
      <x:c r="U7" s="23"/>
    </x:row>
    <x:row r="8" ht="30" customHeight="1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3"/>
      <x:c r="O8" s="23"/>
      <x:c r="P8" s="23"/>
      <x:c r="Q8" s="23"/>
      <x:c r="R8" s="23"/>
      <x:c r="S8" s="23"/>
      <x:c r="T8" s="23"/>
      <x:c r="U8" s="23"/>
    </x:row>
    <x:row r="9" ht="30" customHeight="1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3"/>
      <x:c r="O9" s="23"/>
      <x:c r="P9" s="23"/>
      <x:c r="Q9" s="23"/>
      <x:c r="R9" s="23"/>
      <x:c r="S9" s="23"/>
      <x:c r="T9" s="23"/>
      <x:c r="U9" s="23"/>
    </x:row>
    <x:row r="10" ht="30" customHeight="1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</x:row>
    <x:row r="11" ht="30" customHeight="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3"/>
      <x:c r="O11" s="23"/>
      <x:c r="P11" s="23"/>
      <x:c r="Q11" s="23"/>
      <x:c r="R11" s="23"/>
      <x:c r="S11" s="23"/>
      <x:c r="T11" s="23"/>
      <x:c r="U11" s="23"/>
    </x:row>
    <x:row r="12" ht="30" customHeight="1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3"/>
      <x:c r="O12" s="23"/>
      <x:c r="P12" s="23"/>
      <x:c r="Q12" s="23"/>
      <x:c r="R12" s="23"/>
      <x:c r="S12" s="23"/>
      <x:c r="T12" s="23"/>
      <x:c r="U12" s="23"/>
    </x:row>
    <x:row r="13" ht="30" customHeight="1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3"/>
      <x:c r="O13" s="23"/>
      <x:c r="P13" s="23"/>
      <x:c r="Q13" s="23"/>
      <x:c r="R13" s="23"/>
      <x:c r="S13" s="23"/>
      <x:c r="T13" s="23"/>
      <x:c r="U13" s="23"/>
    </x:row>
    <x:row r="14" ht="30" customHeight="1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3"/>
      <x:c r="O14" s="23"/>
      <x:c r="P14" s="23"/>
      <x:c r="Q14" s="23"/>
      <x:c r="R14" s="23"/>
      <x:c r="S14" s="23"/>
      <x:c r="T14" s="23"/>
      <x:c r="U14" s="23"/>
    </x:row>
    <x:row r="15" ht="30" customHeight="1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3"/>
      <x:c r="O15" s="23"/>
      <x:c r="P15" s="23"/>
      <x:c r="Q15" s="23"/>
      <x:c r="R15" s="23"/>
      <x:c r="S15" s="23"/>
      <x:c r="T15" s="23"/>
      <x:c r="U15" s="23"/>
    </x:row>
    <x:row r="16" ht="30" customHeight="1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  <x:c r="T16" s="23"/>
      <x:c r="U16" s="23"/>
    </x:row>
    <x:row r="17" ht="30" customHeight="1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  <x:c r="T17" s="23"/>
      <x:c r="U17" s="23"/>
    </x:row>
    <x:row r="18" ht="30" customHeight="1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  <x:c r="T18" s="23"/>
      <x:c r="U18" s="23"/>
    </x:row>
    <x:row r="19" ht="30" customHeight="1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</x:row>
    <x:row r="20" ht="30" customHeight="1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  <x:c r="T20" s="23"/>
      <x:c r="U20" s="23"/>
    </x:row>
    <x:row r="21" ht="30" customHeight="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  <x:c r="T21" s="23"/>
      <x:c r="U21" s="23"/>
    </x:row>
    <x:row r="22" ht="30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3"/>
      <x:c r="O22" s="23"/>
      <x:c r="P22" s="23"/>
      <x:c r="Q22" s="23"/>
      <x:c r="R22" s="23"/>
      <x:c r="S22" s="23"/>
      <x:c r="T22" s="23"/>
      <x:c r="U22" s="23"/>
    </x:row>
    <x:row r="23" ht="30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3"/>
      <x:c r="O23" s="23"/>
      <x:c r="P23" s="23"/>
      <x:c r="Q23" s="23"/>
      <x:c r="R23" s="23"/>
      <x:c r="S23" s="23"/>
      <x:c r="T23" s="23"/>
      <x:c r="U23" s="23"/>
    </x:row>
    <x:row r="24" ht="30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</x:row>
    <x:row r="25" ht="30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3"/>
      <x:c r="O25" s="23"/>
      <x:c r="P25" s="23"/>
      <x:c r="Q25" s="23"/>
      <x:c r="R25" s="23"/>
      <x:c r="S25" s="23"/>
      <x:c r="T25" s="23"/>
      <x:c r="U25" s="23"/>
    </x:row>
    <x:row r="26" ht="30" customHeight="1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  <x:c r="T26" s="23"/>
      <x:c r="U26" s="23"/>
    </x:row>
    <x:row r="27" ht="30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  <x:c r="T27" s="23"/>
      <x:c r="U27" s="23"/>
    </x:row>
    <x:row r="28" ht="30" customHeight="1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  <x:c r="T28" s="23"/>
      <x:c r="U28" s="23"/>
    </x:row>
    <x:row r="29" ht="30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</x:row>
    <x:row r="30" ht="30" customHeight="1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  <x:c r="T30" s="23"/>
      <x:c r="U30" s="23"/>
    </x:row>
    <x:row r="31" ht="30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  <x:c r="T31" s="23"/>
      <x:c r="U31" s="23"/>
    </x:row>
    <x:row r="32" ht="30" customHeight="1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  <x:c r="T32" s="23"/>
      <x:c r="U32" s="23"/>
    </x:row>
    <x:row r="33" ht="30" customHeight="1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3"/>
      <x:c r="O33" s="23"/>
      <x:c r="P33" s="23"/>
      <x:c r="Q33" s="23"/>
      <x:c r="R33" s="23"/>
      <x:c r="S33" s="23"/>
      <x:c r="T33" s="23"/>
      <x:c r="U33" s="23"/>
    </x:row>
    <x:row r="34" ht="30" customHeight="1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</x:row>
    <x:row r="35" ht="30" customHeight="1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3"/>
      <x:c r="O35" s="23"/>
      <x:c r="P35" s="23"/>
      <x:c r="Q35" s="23"/>
      <x:c r="R35" s="23"/>
      <x:c r="S35" s="23"/>
      <x:c r="T35" s="23"/>
      <x:c r="U35" s="23"/>
    </x:row>
    <x:row r="36" ht="30" customHeight="1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3"/>
      <x:c r="O36" s="23"/>
      <x:c r="P36" s="23"/>
      <x:c r="Q36" s="23"/>
      <x:c r="R36" s="23"/>
      <x:c r="S36" s="23"/>
      <x:c r="T36" s="23"/>
      <x:c r="U36" s="23"/>
    </x:row>
    <x:row r="37" ht="30" customHeight="1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3"/>
      <x:c r="O37" s="23"/>
      <x:c r="P37" s="23"/>
      <x:c r="Q37" s="23"/>
      <x:c r="R37" s="23"/>
      <x:c r="S37" s="23"/>
      <x:c r="T37" s="23"/>
      <x:c r="U37" s="23"/>
    </x:row>
    <x:row r="38" ht="30" customHeight="1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3"/>
      <x:c r="O38" s="23"/>
      <x:c r="P38" s="23"/>
      <x:c r="Q38" s="23"/>
      <x:c r="R38" s="23"/>
      <x:c r="S38" s="23"/>
      <x:c r="T38" s="23"/>
      <x:c r="U38" s="23"/>
    </x:row>
    <x:row r="39" ht="30" customHeight="1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3"/>
      <x:c r="O39" s="23"/>
      <x:c r="P39" s="23"/>
      <x:c r="Q39" s="23"/>
      <x:c r="R39" s="23"/>
      <x:c r="S39" s="23"/>
      <x:c r="T39" s="23"/>
      <x:c r="U39" s="23"/>
    </x:row>
    <x:row r="40" ht="30" customHeight="1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3"/>
      <x:c r="O40" s="23"/>
      <x:c r="P40" s="23"/>
      <x:c r="Q40" s="23"/>
      <x:c r="R40" s="23"/>
      <x:c r="S40" s="23"/>
      <x:c r="T40" s="23"/>
      <x:c r="U40" s="23"/>
    </x:row>
    <x:row r="41" ht="30" customHeight="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3"/>
      <x:c r="Q41" s="23"/>
      <x:c r="R41" s="23"/>
      <x:c r="S41" s="23"/>
      <x:c r="T41" s="23"/>
      <x:c r="U41" s="23"/>
    </x:row>
    <x:row r="42" ht="30" customHeight="1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3"/>
      <x:c r="O42" s="23"/>
      <x:c r="P42" s="23"/>
      <x:c r="Q42" s="23"/>
      <x:c r="R42" s="23"/>
      <x:c r="S42" s="23"/>
      <x:c r="T42" s="23"/>
      <x:c r="U42" s="23"/>
    </x:row>
    <x:row r="43" ht="30" customHeight="1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3"/>
      <x:c r="O43" s="23"/>
      <x:c r="P43" s="23"/>
      <x:c r="Q43" s="23"/>
      <x:c r="R43" s="23"/>
      <x:c r="S43" s="23"/>
      <x:c r="T43" s="23"/>
      <x:c r="U43" s="23"/>
    </x:row>
    <x:row r="44" ht="30" customHeight="1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3"/>
      <x:c r="O44" s="23"/>
      <x:c r="P44" s="23"/>
      <x:c r="Q44" s="23"/>
      <x:c r="R44" s="23"/>
      <x:c r="S44" s="23"/>
      <x:c r="T44" s="23"/>
      <x:c r="U44" s="23"/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8" priority="1" operator="containsText" text="VALID"/>
    <x:cfRule type="containsText" dxfId="9" priority="2" operator="containsText" text="INVALID"/>
    <x:cfRule type="containsText" dxfId="10" priority="3" operator="containsText" text="INCOMPLETE"/>
    <x:cfRule type="containsText" dxfId="11" priority="4" operator="containsText" text="TO DO HUMAN"/>
  </x:conditionalFormatting>
  <x:conditionalFormatting sqref="S5:S204">
    <x:cfRule type="containsText" dxfId="12" priority="5" operator="containsText" text="NOT RUN"/>
    <x:cfRule type="containsText" dxfId="13" priority="6" operator="containsText" text="PASS"/>
    <x:cfRule type="containsText" dxfId="14" priority="7" operator="containsText" text="FAIL"/>
    <x:cfRule type="containsText" dxfId="15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FR-13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Target: GET /api/admin/orders (Dashboard data source) | Template only — no test cases have been added.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30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</x:row>
    <x:row r="6" ht="30" customHeight="1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3"/>
      <x:c r="O6" s="23"/>
      <x:c r="P6" s="23"/>
      <x:c r="Q6" s="23"/>
      <x:c r="R6" s="23"/>
      <x:c r="S6" s="23"/>
      <x:c r="T6" s="23"/>
      <x:c r="U6" s="23"/>
    </x:row>
    <x:row r="7" ht="30" customHeight="1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3"/>
      <x:c r="O7" s="23"/>
      <x:c r="P7" s="23"/>
      <x:c r="Q7" s="23"/>
      <x:c r="R7" s="23"/>
      <x:c r="S7" s="23"/>
      <x:c r="T7" s="23"/>
      <x:c r="U7" s="23"/>
    </x:row>
    <x:row r="8" ht="30" customHeight="1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3"/>
      <x:c r="O8" s="23"/>
      <x:c r="P8" s="23"/>
      <x:c r="Q8" s="23"/>
      <x:c r="R8" s="23"/>
      <x:c r="S8" s="23"/>
      <x:c r="T8" s="23"/>
      <x:c r="U8" s="23"/>
    </x:row>
    <x:row r="9" ht="30" customHeight="1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3"/>
      <x:c r="O9" s="23"/>
      <x:c r="P9" s="23"/>
      <x:c r="Q9" s="23"/>
      <x:c r="R9" s="23"/>
      <x:c r="S9" s="23"/>
      <x:c r="T9" s="23"/>
      <x:c r="U9" s="23"/>
    </x:row>
    <x:row r="10" ht="30" customHeight="1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</x:row>
    <x:row r="11" ht="30" customHeight="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3"/>
      <x:c r="O11" s="23"/>
      <x:c r="P11" s="23"/>
      <x:c r="Q11" s="23"/>
      <x:c r="R11" s="23"/>
      <x:c r="S11" s="23"/>
      <x:c r="T11" s="23"/>
      <x:c r="U11" s="23"/>
    </x:row>
    <x:row r="12" ht="30" customHeight="1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3"/>
      <x:c r="O12" s="23"/>
      <x:c r="P12" s="23"/>
      <x:c r="Q12" s="23"/>
      <x:c r="R12" s="23"/>
      <x:c r="S12" s="23"/>
      <x:c r="T12" s="23"/>
      <x:c r="U12" s="23"/>
    </x:row>
    <x:row r="13" ht="30" customHeight="1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3"/>
      <x:c r="O13" s="23"/>
      <x:c r="P13" s="23"/>
      <x:c r="Q13" s="23"/>
      <x:c r="R13" s="23"/>
      <x:c r="S13" s="23"/>
      <x:c r="T13" s="23"/>
      <x:c r="U13" s="23"/>
    </x:row>
    <x:row r="14" ht="30" customHeight="1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3"/>
      <x:c r="O14" s="23"/>
      <x:c r="P14" s="23"/>
      <x:c r="Q14" s="23"/>
      <x:c r="R14" s="23"/>
      <x:c r="S14" s="23"/>
      <x:c r="T14" s="23"/>
      <x:c r="U14" s="23"/>
    </x:row>
    <x:row r="15" ht="30" customHeight="1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3"/>
      <x:c r="O15" s="23"/>
      <x:c r="P15" s="23"/>
      <x:c r="Q15" s="23"/>
      <x:c r="R15" s="23"/>
      <x:c r="S15" s="23"/>
      <x:c r="T15" s="23"/>
      <x:c r="U15" s="23"/>
    </x:row>
    <x:row r="16" ht="30" customHeight="1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  <x:c r="T16" s="23"/>
      <x:c r="U16" s="23"/>
    </x:row>
    <x:row r="17" ht="30" customHeight="1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  <x:c r="T17" s="23"/>
      <x:c r="U17" s="23"/>
    </x:row>
    <x:row r="18" ht="30" customHeight="1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  <x:c r="T18" s="23"/>
      <x:c r="U18" s="23"/>
    </x:row>
    <x:row r="19" ht="30" customHeight="1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</x:row>
    <x:row r="20" ht="30" customHeight="1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  <x:c r="T20" s="23"/>
      <x:c r="U20" s="23"/>
    </x:row>
    <x:row r="21" ht="30" customHeight="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  <x:c r="T21" s="23"/>
      <x:c r="U21" s="23"/>
    </x:row>
    <x:row r="22" ht="30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3"/>
      <x:c r="O22" s="23"/>
      <x:c r="P22" s="23"/>
      <x:c r="Q22" s="23"/>
      <x:c r="R22" s="23"/>
      <x:c r="S22" s="23"/>
      <x:c r="T22" s="23"/>
      <x:c r="U22" s="23"/>
    </x:row>
    <x:row r="23" ht="30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3"/>
      <x:c r="O23" s="23"/>
      <x:c r="P23" s="23"/>
      <x:c r="Q23" s="23"/>
      <x:c r="R23" s="23"/>
      <x:c r="S23" s="23"/>
      <x:c r="T23" s="23"/>
      <x:c r="U23" s="23"/>
    </x:row>
    <x:row r="24" ht="30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</x:row>
    <x:row r="25" ht="30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3"/>
      <x:c r="O25" s="23"/>
      <x:c r="P25" s="23"/>
      <x:c r="Q25" s="23"/>
      <x:c r="R25" s="23"/>
      <x:c r="S25" s="23"/>
      <x:c r="T25" s="23"/>
      <x:c r="U25" s="23"/>
    </x:row>
    <x:row r="26" ht="30" customHeight="1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  <x:c r="T26" s="23"/>
      <x:c r="U26" s="23"/>
    </x:row>
    <x:row r="27" ht="30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  <x:c r="T27" s="23"/>
      <x:c r="U27" s="23"/>
    </x:row>
    <x:row r="28" ht="30" customHeight="1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  <x:c r="T28" s="23"/>
      <x:c r="U28" s="23"/>
    </x:row>
    <x:row r="29" ht="30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</x:row>
    <x:row r="30" ht="30" customHeight="1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  <x:c r="T30" s="23"/>
      <x:c r="U30" s="23"/>
    </x:row>
    <x:row r="31" ht="30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  <x:c r="T31" s="23"/>
      <x:c r="U31" s="23"/>
    </x:row>
    <x:row r="32" ht="30" customHeight="1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  <x:c r="T32" s="23"/>
      <x:c r="U32" s="23"/>
    </x:row>
    <x:row r="33" ht="30" customHeight="1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3"/>
      <x:c r="O33" s="23"/>
      <x:c r="P33" s="23"/>
      <x:c r="Q33" s="23"/>
      <x:c r="R33" s="23"/>
      <x:c r="S33" s="23"/>
      <x:c r="T33" s="23"/>
      <x:c r="U33" s="23"/>
    </x:row>
    <x:row r="34" ht="30" customHeight="1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</x:row>
    <x:row r="35" ht="30" customHeight="1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3"/>
      <x:c r="O35" s="23"/>
      <x:c r="P35" s="23"/>
      <x:c r="Q35" s="23"/>
      <x:c r="R35" s="23"/>
      <x:c r="S35" s="23"/>
      <x:c r="T35" s="23"/>
      <x:c r="U35" s="23"/>
    </x:row>
    <x:row r="36" ht="30" customHeight="1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3"/>
      <x:c r="O36" s="23"/>
      <x:c r="P36" s="23"/>
      <x:c r="Q36" s="23"/>
      <x:c r="R36" s="23"/>
      <x:c r="S36" s="23"/>
      <x:c r="T36" s="23"/>
      <x:c r="U36" s="23"/>
    </x:row>
    <x:row r="37" ht="30" customHeight="1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3"/>
      <x:c r="O37" s="23"/>
      <x:c r="P37" s="23"/>
      <x:c r="Q37" s="23"/>
      <x:c r="R37" s="23"/>
      <x:c r="S37" s="23"/>
      <x:c r="T37" s="23"/>
      <x:c r="U37" s="23"/>
    </x:row>
    <x:row r="38" ht="30" customHeight="1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3"/>
      <x:c r="O38" s="23"/>
      <x:c r="P38" s="23"/>
      <x:c r="Q38" s="23"/>
      <x:c r="R38" s="23"/>
      <x:c r="S38" s="23"/>
      <x:c r="T38" s="23"/>
      <x:c r="U38" s="23"/>
    </x:row>
    <x:row r="39" ht="30" customHeight="1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3"/>
      <x:c r="O39" s="23"/>
      <x:c r="P39" s="23"/>
      <x:c r="Q39" s="23"/>
      <x:c r="R39" s="23"/>
      <x:c r="S39" s="23"/>
      <x:c r="T39" s="23"/>
      <x:c r="U39" s="23"/>
    </x:row>
    <x:row r="40" ht="30" customHeight="1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3"/>
      <x:c r="O40" s="23"/>
      <x:c r="P40" s="23"/>
      <x:c r="Q40" s="23"/>
      <x:c r="R40" s="23"/>
      <x:c r="S40" s="23"/>
      <x:c r="T40" s="23"/>
      <x:c r="U40" s="23"/>
    </x:row>
    <x:row r="41" ht="30" customHeight="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3"/>
      <x:c r="Q41" s="23"/>
      <x:c r="R41" s="23"/>
      <x:c r="S41" s="23"/>
      <x:c r="T41" s="23"/>
      <x:c r="U41" s="23"/>
    </x:row>
    <x:row r="42" ht="30" customHeight="1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3"/>
      <x:c r="O42" s="23"/>
      <x:c r="P42" s="23"/>
      <x:c r="Q42" s="23"/>
      <x:c r="R42" s="23"/>
      <x:c r="S42" s="23"/>
      <x:c r="T42" s="23"/>
      <x:c r="U42" s="23"/>
    </x:row>
    <x:row r="43" ht="30" customHeight="1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3"/>
      <x:c r="O43" s="23"/>
      <x:c r="P43" s="23"/>
      <x:c r="Q43" s="23"/>
      <x:c r="R43" s="23"/>
      <x:c r="S43" s="23"/>
      <x:c r="T43" s="23"/>
      <x:c r="U43" s="23"/>
    </x:row>
    <x:row r="44" ht="30" customHeight="1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3"/>
      <x:c r="O44" s="23"/>
      <x:c r="P44" s="23"/>
      <x:c r="Q44" s="23"/>
      <x:c r="R44" s="23"/>
      <x:c r="S44" s="23"/>
      <x:c r="T44" s="23"/>
      <x:c r="U44" s="23"/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16" priority="1" operator="containsText" text="VALID"/>
    <x:cfRule type="containsText" dxfId="17" priority="2" operator="containsText" text="INVALID"/>
    <x:cfRule type="containsText" dxfId="18" priority="3" operator="containsText" text="INCOMPLETE"/>
    <x:cfRule type="containsText" dxfId="19" priority="4" operator="containsText" text="TO DO HUMAN"/>
  </x:conditionalFormatting>
  <x:conditionalFormatting sqref="S5:S204">
    <x:cfRule type="containsText" dxfId="20" priority="5" operator="containsText" text="NOT RUN"/>
    <x:cfRule type="containsText" dxfId="21" priority="6" operator="containsText" text="PASS"/>
    <x:cfRule type="containsText" dxfId="22" priority="7" operator="containsText" text="FAIL"/>
    <x:cfRule type="containsText" dxfId="23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